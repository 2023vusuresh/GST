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Dataset" sheetId="1" state="visible" r:id="rId1"/>
    <sheet xmlns:r="http://schemas.openxmlformats.org/officeDocument/2006/relationships" name="Decision Logic" sheetId="2" state="visible" r:id="rId2"/>
    <sheet xmlns:r="http://schemas.openxmlformats.org/officeDocument/2006/relationships" name="Place of Supply Rules" sheetId="3" state="visible" r:id="rId3"/>
    <sheet xmlns:r="http://schemas.openxmlformats.org/officeDocument/2006/relationships" name="Tax Calculator" sheetId="4" state="visible" r:id="rId4"/>
    <sheet xmlns:r="http://schemas.openxmlformats.org/officeDocument/2006/relationships" name="Reverse Charge (RCM)" sheetId="5" state="visible" r:id="rId5"/>
    <sheet xmlns:r="http://schemas.openxmlformats.org/officeDocument/2006/relationships" name="GST Exemptions" sheetId="6" state="visible" r:id="rId6"/>
    <sheet xmlns:r="http://schemas.openxmlformats.org/officeDocument/2006/relationships" name="Summary Dashboard" sheetId="7" state="visible" r:id="rId7"/>
  </sheets>
  <definedNames>
    <definedName name="_xlnm._FilterDatabase" localSheetId="0" hidden="1">'GST Dataset'!$A$1:$G$51</definedName>
    <definedName name="_xlnm._FilterDatabase" localSheetId="1" hidden="1">'Decision Logic'!$A$1:$F$15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44444"/>
      <sz val="9"/>
    </font>
    <font>
      <name val="Arial"/>
      <b val="1"/>
      <color rgb="000D47A1"/>
      <sz val="9"/>
    </font>
    <font>
      <name val="Arial"/>
      <b val="1"/>
      <color rgb="001B5E20"/>
      <sz val="9"/>
    </font>
    <font>
      <name val="Arial"/>
      <b val="1"/>
      <color rgb="00FFFFFF"/>
      <sz val="12"/>
    </font>
    <font>
      <name val="Arial"/>
      <b val="1"/>
      <color rgb="00444444"/>
      <sz val="9"/>
    </font>
    <font>
      <name val="Arial"/>
      <b val="1"/>
      <color rgb="007B3F00"/>
      <sz val="9"/>
    </font>
    <font>
      <name val="Arial"/>
      <i val="1"/>
      <color rgb="00444444"/>
      <sz val="9"/>
    </font>
    <font>
      <name val="Arial"/>
      <i val="1"/>
      <color rgb="00555555"/>
      <sz val="9"/>
    </font>
    <font>
      <name val="Arial"/>
      <b val="1"/>
      <color rgb="003B0067"/>
      <sz val="9"/>
    </font>
    <font>
      <name val="Arial"/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EF6FF"/>
      </patternFill>
    </fill>
    <fill>
      <patternFill patternType="solid">
        <fgColor rgb="00EEFFF4"/>
      </patternFill>
    </fill>
    <fill>
      <patternFill patternType="solid">
        <fgColor rgb="00DDFFEE"/>
      </patternFill>
    </fill>
    <fill>
      <patternFill patternType="solid">
        <fgColor rgb="00FFF3CD"/>
      </patternFill>
    </fill>
    <fill>
      <patternFill patternType="solid">
        <fgColor rgb="005C0099"/>
      </patternFill>
    </fill>
    <fill>
      <patternFill patternType="solid">
        <fgColor rgb="00F0E6FF"/>
      </patternFill>
    </fill>
    <fill>
      <patternFill patternType="solid">
        <fgColor rgb="00FFFFFF"/>
      </patternFill>
    </fill>
    <fill>
      <patternFill patternType="solid">
        <fgColor rgb="001E462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24" customWidth="1" min="4" max="4"/>
    <col width="20" customWidth="1" min="5" max="5"/>
    <col width="24" customWidth="1" min="6" max="6"/>
    <col width="42" customWidth="1" min="7" max="7"/>
  </cols>
  <sheetData>
    <row r="1" ht="32" customHeight="1">
      <c r="A1" s="1" t="inlineStr">
        <is>
          <t>#</t>
        </is>
      </c>
      <c r="B1" s="1" t="inlineStr">
        <is>
          <t>Transaction Scenario</t>
        </is>
      </c>
      <c r="C1" s="1" t="inlineStr">
        <is>
          <t>Supplier Location</t>
        </is>
      </c>
      <c r="D1" s="1" t="inlineStr">
        <is>
          <t>Place of Supply</t>
        </is>
      </c>
      <c r="E1" s="1" t="inlineStr">
        <is>
          <t>Tax Applicable</t>
        </is>
      </c>
      <c r="F1" s="1" t="inlineStr">
        <is>
          <t>Tax Split</t>
        </is>
      </c>
      <c r="G1" s="1" t="inlineStr">
        <is>
          <t>Rule / Reason</t>
        </is>
      </c>
    </row>
    <row r="2" ht="26" customHeight="1">
      <c r="A2" s="2" t="inlineStr">
        <is>
          <t>01</t>
        </is>
      </c>
      <c r="B2" s="3" t="inlineStr">
        <is>
          <t>Manufacturer in Maharashtra sells to retailer in Gujarat</t>
        </is>
      </c>
      <c r="C2" s="3" t="inlineStr">
        <is>
          <t>Maharashtra</t>
        </is>
      </c>
      <c r="D2" s="3" t="inlineStr">
        <is>
          <t>Gujarat</t>
        </is>
      </c>
      <c r="E2" s="4" t="inlineStr">
        <is>
          <t>IGST</t>
        </is>
      </c>
      <c r="F2" s="3" t="inlineStr">
        <is>
          <t>Full GST rate as IGST</t>
        </is>
      </c>
      <c r="G2" s="3" t="inlineStr">
        <is>
          <t>Inter-state sale of goods — different states</t>
        </is>
      </c>
    </row>
    <row r="3" ht="26" customHeight="1">
      <c r="A3" s="5" t="inlineStr">
        <is>
          <t>02</t>
        </is>
      </c>
      <c r="B3" s="6" t="inlineStr">
        <is>
          <t>Delhi trader sells goods to Noida (UP) dealer</t>
        </is>
      </c>
      <c r="C3" s="6" t="inlineStr">
        <is>
          <t>Delhi</t>
        </is>
      </c>
      <c r="D3" s="6" t="inlineStr">
        <is>
          <t>Uttar Pradesh</t>
        </is>
      </c>
      <c r="E3" s="7" t="inlineStr">
        <is>
          <t>IGST</t>
        </is>
      </c>
      <c r="F3" s="6" t="inlineStr">
        <is>
          <t>Full GST rate as IGST</t>
        </is>
      </c>
      <c r="G3" s="6" t="inlineStr">
        <is>
          <t>Inter-state — Delhi to UP</t>
        </is>
      </c>
    </row>
    <row r="4" ht="26" customHeight="1">
      <c r="A4" s="2" t="inlineStr">
        <is>
          <t>03</t>
        </is>
      </c>
      <c r="B4" s="3" t="inlineStr">
        <is>
          <t>Surat diamond merchant sells to Mumbai buyer</t>
        </is>
      </c>
      <c r="C4" s="3" t="inlineStr">
        <is>
          <t>Gujarat</t>
        </is>
      </c>
      <c r="D4" s="3" t="inlineStr">
        <is>
          <t>Maharashtra</t>
        </is>
      </c>
      <c r="E4" s="4" t="inlineStr">
        <is>
          <t>IGST</t>
        </is>
      </c>
      <c r="F4" s="3" t="inlineStr">
        <is>
          <t>Full GST rate as IGST</t>
        </is>
      </c>
      <c r="G4" s="3" t="inlineStr">
        <is>
          <t>Inter-state B2B goods supply</t>
        </is>
      </c>
    </row>
    <row r="5" ht="26" customHeight="1">
      <c r="A5" s="5" t="inlineStr">
        <is>
          <t>04</t>
        </is>
      </c>
      <c r="B5" s="6" t="inlineStr">
        <is>
          <t>Rajasthan marble exporter sells to Tamil Nadu builder</t>
        </is>
      </c>
      <c r="C5" s="6" t="inlineStr">
        <is>
          <t>Rajasthan</t>
        </is>
      </c>
      <c r="D5" s="6" t="inlineStr">
        <is>
          <t>Tamil Nadu</t>
        </is>
      </c>
      <c r="E5" s="7" t="inlineStr">
        <is>
          <t>IGST</t>
        </is>
      </c>
      <c r="F5" s="6" t="inlineStr">
        <is>
          <t>Full GST rate as IGST</t>
        </is>
      </c>
      <c r="G5" s="6" t="inlineStr">
        <is>
          <t>Inter-state movement of goods</t>
        </is>
      </c>
    </row>
    <row r="6" ht="26" customHeight="1">
      <c r="A6" s="2" t="inlineStr">
        <is>
          <t>05</t>
        </is>
      </c>
      <c r="B6" s="3" t="inlineStr">
        <is>
          <t>Ludhiana hosiery manufacturer sells to Delhi wholesaler</t>
        </is>
      </c>
      <c r="C6" s="3" t="inlineStr">
        <is>
          <t>Punjab</t>
        </is>
      </c>
      <c r="D6" s="3" t="inlineStr">
        <is>
          <t>Delhi</t>
        </is>
      </c>
      <c r="E6" s="4" t="inlineStr">
        <is>
          <t>IGST</t>
        </is>
      </c>
      <c r="F6" s="3" t="inlineStr">
        <is>
          <t>Full GST rate as IGST</t>
        </is>
      </c>
      <c r="G6" s="3" t="inlineStr">
        <is>
          <t>Inter-state B2B transaction</t>
        </is>
      </c>
    </row>
    <row r="7" ht="26" customHeight="1">
      <c r="A7" s="8" t="inlineStr">
        <is>
          <t>06</t>
        </is>
      </c>
      <c r="B7" s="9" t="inlineStr">
        <is>
          <t>Ahmedabad shop sells goods to local walk-in customer</t>
        </is>
      </c>
      <c r="C7" s="9" t="inlineStr">
        <is>
          <t>Gujarat</t>
        </is>
      </c>
      <c r="D7" s="9" t="inlineStr">
        <is>
          <t>Gujarat</t>
        </is>
      </c>
      <c r="E7" s="10" t="inlineStr">
        <is>
          <t>CGST + SGST</t>
        </is>
      </c>
      <c r="F7" s="9" t="inlineStr">
        <is>
          <t>CGST 50% + SGST 50%</t>
        </is>
      </c>
      <c r="G7" s="9" t="inlineStr">
        <is>
          <t>Intra-state B2C local sale</t>
        </is>
      </c>
    </row>
    <row r="8" ht="26" customHeight="1">
      <c r="A8" s="11" t="inlineStr">
        <is>
          <t>07</t>
        </is>
      </c>
      <c r="B8" s="12" t="inlineStr">
        <is>
          <t>Jaipur fashion brand ships to customer within Jaipur</t>
        </is>
      </c>
      <c r="C8" s="12" t="inlineStr">
        <is>
          <t>Rajasthan</t>
        </is>
      </c>
      <c r="D8" s="12" t="inlineStr">
        <is>
          <t>Rajasthan</t>
        </is>
      </c>
      <c r="E8" s="13" t="inlineStr">
        <is>
          <t>CGST + SGST</t>
        </is>
      </c>
      <c r="F8" s="12" t="inlineStr">
        <is>
          <t>CGST 50% + SGST 50%</t>
        </is>
      </c>
      <c r="G8" s="12" t="inlineStr">
        <is>
          <t>Intra-state — same state delivery</t>
        </is>
      </c>
    </row>
    <row r="9" ht="26" customHeight="1">
      <c r="A9" s="8" t="inlineStr">
        <is>
          <t>08</t>
        </is>
      </c>
      <c r="B9" s="9" t="inlineStr">
        <is>
          <t>Pune manufacturer sells to Pune retailer</t>
        </is>
      </c>
      <c r="C9" s="9" t="inlineStr">
        <is>
          <t>Maharashtra</t>
        </is>
      </c>
      <c r="D9" s="9" t="inlineStr">
        <is>
          <t>Maharashtra</t>
        </is>
      </c>
      <c r="E9" s="10" t="inlineStr">
        <is>
          <t>CGST + SGST</t>
        </is>
      </c>
      <c r="F9" s="9" t="inlineStr">
        <is>
          <t>CGST 50% + SGST 50%</t>
        </is>
      </c>
      <c r="G9" s="9" t="inlineStr">
        <is>
          <t>Intra-state B2B — same state</t>
        </is>
      </c>
    </row>
    <row r="10" ht="26" customHeight="1">
      <c r="A10" s="11" t="inlineStr">
        <is>
          <t>09</t>
        </is>
      </c>
      <c r="B10" s="12" t="inlineStr">
        <is>
          <t>Chennai rice mill sells to local grocery store</t>
        </is>
      </c>
      <c r="C10" s="12" t="inlineStr">
        <is>
          <t>Tamil Nadu</t>
        </is>
      </c>
      <c r="D10" s="12" t="inlineStr">
        <is>
          <t>Tamil Nadu</t>
        </is>
      </c>
      <c r="E10" s="13" t="inlineStr">
        <is>
          <t>CGST + SGST</t>
        </is>
      </c>
      <c r="F10" s="12" t="inlineStr">
        <is>
          <t>CGST 50% + SGST 50%</t>
        </is>
      </c>
      <c r="G10" s="12" t="inlineStr">
        <is>
          <t>Intra-state goods supply</t>
        </is>
      </c>
    </row>
    <row r="11" ht="26" customHeight="1">
      <c r="A11" s="8" t="inlineStr">
        <is>
          <t>10</t>
        </is>
      </c>
      <c r="B11" s="9" t="inlineStr">
        <is>
          <t>Kolkata textile trader sells to local boutique</t>
        </is>
      </c>
      <c r="C11" s="9" t="inlineStr">
        <is>
          <t>West Bengal</t>
        </is>
      </c>
      <c r="D11" s="9" t="inlineStr">
        <is>
          <t>West Bengal</t>
        </is>
      </c>
      <c r="E11" s="10" t="inlineStr">
        <is>
          <t>CGST + SGST</t>
        </is>
      </c>
      <c r="F11" s="9" t="inlineStr">
        <is>
          <t>CGST 50% + SGST 50%</t>
        </is>
      </c>
      <c r="G11" s="9" t="inlineStr">
        <is>
          <t>Intra-state B2B trade</t>
        </is>
      </c>
    </row>
    <row r="12" ht="26" customHeight="1">
      <c r="A12" s="2" t="inlineStr">
        <is>
          <t>11</t>
        </is>
      </c>
      <c r="B12" s="3" t="inlineStr">
        <is>
          <t>Bengaluru IT firm provides software services to Delhi client</t>
        </is>
      </c>
      <c r="C12" s="3" t="inlineStr">
        <is>
          <t>Karnataka</t>
        </is>
      </c>
      <c r="D12" s="3" t="inlineStr">
        <is>
          <t>Delhi</t>
        </is>
      </c>
      <c r="E12" s="4" t="inlineStr">
        <is>
          <t>IGST</t>
        </is>
      </c>
      <c r="F12" s="3" t="inlineStr">
        <is>
          <t>Full GST rate as IGST</t>
        </is>
      </c>
      <c r="G12" s="3" t="inlineStr">
        <is>
          <t>Inter-state service supply</t>
        </is>
      </c>
    </row>
    <row r="13" ht="26" customHeight="1">
      <c r="A13" s="5" t="inlineStr">
        <is>
          <t>12</t>
        </is>
      </c>
      <c r="B13" s="6" t="inlineStr">
        <is>
          <t>Mumbai CA provides tax advisory to Hyderabad company</t>
        </is>
      </c>
      <c r="C13" s="6" t="inlineStr">
        <is>
          <t>Maharashtra</t>
        </is>
      </c>
      <c r="D13" s="6" t="inlineStr">
        <is>
          <t>Telangana</t>
        </is>
      </c>
      <c r="E13" s="7" t="inlineStr">
        <is>
          <t>IGST</t>
        </is>
      </c>
      <c r="F13" s="6" t="inlineStr">
        <is>
          <t>Full GST rate as IGST</t>
        </is>
      </c>
      <c r="G13" s="6" t="inlineStr">
        <is>
          <t>Inter-state professional service</t>
        </is>
      </c>
    </row>
    <row r="14" ht="26" customHeight="1">
      <c r="A14" s="2" t="inlineStr">
        <is>
          <t>13</t>
        </is>
      </c>
      <c r="B14" s="3" t="inlineStr">
        <is>
          <t>Noida IT firm provides services to Delhi NCR client</t>
        </is>
      </c>
      <c r="C14" s="3" t="inlineStr">
        <is>
          <t>Uttar Pradesh</t>
        </is>
      </c>
      <c r="D14" s="3" t="inlineStr">
        <is>
          <t>Delhi</t>
        </is>
      </c>
      <c r="E14" s="4" t="inlineStr">
        <is>
          <t>IGST</t>
        </is>
      </c>
      <c r="F14" s="3" t="inlineStr">
        <is>
          <t>Full GST rate as IGST</t>
        </is>
      </c>
      <c r="G14" s="3" t="inlineStr">
        <is>
          <t>Different states — UP to Delhi</t>
        </is>
      </c>
    </row>
    <row r="15" ht="26" customHeight="1">
      <c r="A15" s="5" t="inlineStr">
        <is>
          <t>14</t>
        </is>
      </c>
      <c r="B15" s="6" t="inlineStr">
        <is>
          <t>Hyderabad consultancy provides training to Pune office</t>
        </is>
      </c>
      <c r="C15" s="6" t="inlineStr">
        <is>
          <t>Telangana</t>
        </is>
      </c>
      <c r="D15" s="6" t="inlineStr">
        <is>
          <t>Maharashtra</t>
        </is>
      </c>
      <c r="E15" s="7" t="inlineStr">
        <is>
          <t>IGST</t>
        </is>
      </c>
      <c r="F15" s="6" t="inlineStr">
        <is>
          <t>Full GST rate as IGST</t>
        </is>
      </c>
      <c r="G15" s="6" t="inlineStr">
        <is>
          <t>Inter-state training service</t>
        </is>
      </c>
    </row>
    <row r="16" ht="26" customHeight="1">
      <c r="A16" s="2" t="inlineStr">
        <is>
          <t>15</t>
        </is>
      </c>
      <c r="B16" s="3" t="inlineStr">
        <is>
          <t>Ahmedabad architect provides building design to Bhopal client</t>
        </is>
      </c>
      <c r="C16" s="3" t="inlineStr">
        <is>
          <t>Gujarat</t>
        </is>
      </c>
      <c r="D16" s="3" t="inlineStr">
        <is>
          <t>Madhya Pradesh</t>
        </is>
      </c>
      <c r="E16" s="4" t="inlineStr">
        <is>
          <t>IGST</t>
        </is>
      </c>
      <c r="F16" s="3" t="inlineStr">
        <is>
          <t>Full GST rate as IGST</t>
        </is>
      </c>
      <c r="G16" s="3" t="inlineStr">
        <is>
          <t>Inter-state architectural service</t>
        </is>
      </c>
    </row>
    <row r="17" ht="26" customHeight="1">
      <c r="A17" s="8" t="inlineStr">
        <is>
          <t>16</t>
        </is>
      </c>
      <c r="B17" s="9" t="inlineStr">
        <is>
          <t>Mumbai CA provides audit services to Mumbai company</t>
        </is>
      </c>
      <c r="C17" s="9" t="inlineStr">
        <is>
          <t>Maharashtra</t>
        </is>
      </c>
      <c r="D17" s="9" t="inlineStr">
        <is>
          <t>Maharashtra</t>
        </is>
      </c>
      <c r="E17" s="10" t="inlineStr">
        <is>
          <t>CGST + SGST</t>
        </is>
      </c>
      <c r="F17" s="9" t="inlineStr">
        <is>
          <t>CGST 50% + SGST 50%</t>
        </is>
      </c>
      <c r="G17" s="9" t="inlineStr">
        <is>
          <t>Intra-state professional service</t>
        </is>
      </c>
    </row>
    <row r="18" ht="26" customHeight="1">
      <c r="A18" s="11" t="inlineStr">
        <is>
          <t>17</t>
        </is>
      </c>
      <c r="B18" s="12" t="inlineStr">
        <is>
          <t>Bengaluru software company services local Bengaluru client</t>
        </is>
      </c>
      <c r="C18" s="12" t="inlineStr">
        <is>
          <t>Karnataka</t>
        </is>
      </c>
      <c r="D18" s="12" t="inlineStr">
        <is>
          <t>Karnataka</t>
        </is>
      </c>
      <c r="E18" s="13" t="inlineStr">
        <is>
          <t>CGST + SGST</t>
        </is>
      </c>
      <c r="F18" s="12" t="inlineStr">
        <is>
          <t>CGST 50% + SGST 50%</t>
        </is>
      </c>
      <c r="G18" s="12" t="inlineStr">
        <is>
          <t>Intra-state IT service</t>
        </is>
      </c>
    </row>
    <row r="19" ht="26" customHeight="1">
      <c r="A19" s="8" t="inlineStr">
        <is>
          <t>18</t>
        </is>
      </c>
      <c r="B19" s="9" t="inlineStr">
        <is>
          <t>Delhi lawyer advises Delhi-based company</t>
        </is>
      </c>
      <c r="C19" s="9" t="inlineStr">
        <is>
          <t>Delhi</t>
        </is>
      </c>
      <c r="D19" s="9" t="inlineStr">
        <is>
          <t>Delhi</t>
        </is>
      </c>
      <c r="E19" s="10" t="inlineStr">
        <is>
          <t>CGST + SGST</t>
        </is>
      </c>
      <c r="F19" s="9" t="inlineStr">
        <is>
          <t>CGST 50% + SGST 50%</t>
        </is>
      </c>
      <c r="G19" s="9" t="inlineStr">
        <is>
          <t>Intra-state legal service</t>
        </is>
      </c>
    </row>
    <row r="20" ht="26" customHeight="1">
      <c r="A20" s="11" t="inlineStr">
        <is>
          <t>19</t>
        </is>
      </c>
      <c r="B20" s="12" t="inlineStr">
        <is>
          <t>Hyderabad CA provides GST filing service to Hyderabad firm</t>
        </is>
      </c>
      <c r="C20" s="12" t="inlineStr">
        <is>
          <t>Telangana</t>
        </is>
      </c>
      <c r="D20" s="12" t="inlineStr">
        <is>
          <t>Telangana</t>
        </is>
      </c>
      <c r="E20" s="13" t="inlineStr">
        <is>
          <t>CGST + SGST</t>
        </is>
      </c>
      <c r="F20" s="12" t="inlineStr">
        <is>
          <t>CGST 50% + SGST 50%</t>
        </is>
      </c>
      <c r="G20" s="12" t="inlineStr">
        <is>
          <t>Intra-state accounting service</t>
        </is>
      </c>
    </row>
    <row r="21" ht="26" customHeight="1">
      <c r="A21" s="8" t="inlineStr">
        <is>
          <t>20</t>
        </is>
      </c>
      <c r="B21" s="9" t="inlineStr">
        <is>
          <t>Chennai advertising agency creates campaign for Chennai brand</t>
        </is>
      </c>
      <c r="C21" s="9" t="inlineStr">
        <is>
          <t>Tamil Nadu</t>
        </is>
      </c>
      <c r="D21" s="9" t="inlineStr">
        <is>
          <t>Tamil Nadu</t>
        </is>
      </c>
      <c r="E21" s="10" t="inlineStr">
        <is>
          <t>CGST + SGST</t>
        </is>
      </c>
      <c r="F21" s="9" t="inlineStr">
        <is>
          <t>CGST 50% + SGST 50%</t>
        </is>
      </c>
      <c r="G21" s="9" t="inlineStr">
        <is>
          <t>Intra-state marketing service</t>
        </is>
      </c>
    </row>
    <row r="22" ht="26" customHeight="1">
      <c r="A22" s="11" t="inlineStr">
        <is>
          <t>21</t>
        </is>
      </c>
      <c r="B22" s="12" t="inlineStr">
        <is>
          <t>Mumbai restaurant serves dine-in customers</t>
        </is>
      </c>
      <c r="C22" s="12" t="inlineStr">
        <is>
          <t>Maharashtra</t>
        </is>
      </c>
      <c r="D22" s="12" t="inlineStr">
        <is>
          <t>Maharashtra</t>
        </is>
      </c>
      <c r="E22" s="13" t="inlineStr">
        <is>
          <t>CGST + SGST</t>
        </is>
      </c>
      <c r="F22" s="12" t="inlineStr">
        <is>
          <t>CGST 50% + SGST 50%</t>
        </is>
      </c>
      <c r="G22" s="12" t="inlineStr">
        <is>
          <t>Place of supply = restaurant location (same state)</t>
        </is>
      </c>
    </row>
    <row r="23" ht="26" customHeight="1">
      <c r="A23" s="8" t="inlineStr">
        <is>
          <t>22</t>
        </is>
      </c>
      <c r="B23" s="9" t="inlineStr">
        <is>
          <t>Goa beach resort hosts guests from other states</t>
        </is>
      </c>
      <c r="C23" s="9" t="inlineStr">
        <is>
          <t>Goa</t>
        </is>
      </c>
      <c r="D23" s="9" t="inlineStr">
        <is>
          <t>Goa</t>
        </is>
      </c>
      <c r="E23" s="10" t="inlineStr">
        <is>
          <t>CGST + SGST</t>
        </is>
      </c>
      <c r="F23" s="9" t="inlineStr">
        <is>
          <t>CGST 50% + SGST 50%</t>
        </is>
      </c>
      <c r="G23" s="9" t="inlineStr">
        <is>
          <t>Hotel — place of supply = property location</t>
        </is>
      </c>
    </row>
    <row r="24" ht="26" customHeight="1">
      <c r="A24" s="11" t="inlineStr">
        <is>
          <t>23</t>
        </is>
      </c>
      <c r="B24" s="12" t="inlineStr">
        <is>
          <t>Delhi hotel hosts tourist from abroad (international)</t>
        </is>
      </c>
      <c r="C24" s="12" t="inlineStr">
        <is>
          <t>Delhi</t>
        </is>
      </c>
      <c r="D24" s="12" t="inlineStr">
        <is>
          <t>Delhi</t>
        </is>
      </c>
      <c r="E24" s="13" t="inlineStr">
        <is>
          <t>CGST + SGST</t>
        </is>
      </c>
      <c r="F24" s="12" t="inlineStr">
        <is>
          <t>CGST 50% + SGST 50%</t>
        </is>
      </c>
      <c r="G24" s="12" t="inlineStr">
        <is>
          <t>Hotel — place of supply = hotel state, not guest's country</t>
        </is>
      </c>
    </row>
    <row r="25" ht="26" customHeight="1">
      <c r="A25" s="8" t="inlineStr">
        <is>
          <t>24</t>
        </is>
      </c>
      <c r="B25" s="9" t="inlineStr">
        <is>
          <t>Kolkata hotel hosts guests from West Bengal</t>
        </is>
      </c>
      <c r="C25" s="9" t="inlineStr">
        <is>
          <t>West Bengal</t>
        </is>
      </c>
      <c r="D25" s="9" t="inlineStr">
        <is>
          <t>West Bengal</t>
        </is>
      </c>
      <c r="E25" s="10" t="inlineStr">
        <is>
          <t>CGST + SGST</t>
        </is>
      </c>
      <c r="F25" s="9" t="inlineStr">
        <is>
          <t>CGST 50% + SGST 50%</t>
        </is>
      </c>
      <c r="G25" s="9" t="inlineStr">
        <is>
          <t>Intra-state hospitality service</t>
        </is>
      </c>
    </row>
    <row r="26" ht="26" customHeight="1">
      <c r="A26" s="11" t="inlineStr">
        <is>
          <t>25</t>
        </is>
      </c>
      <c r="B26" s="12" t="inlineStr">
        <is>
          <t>Ooty hill station hotel hosts guests from Chennai</t>
        </is>
      </c>
      <c r="C26" s="12" t="inlineStr">
        <is>
          <t>Tamil Nadu</t>
        </is>
      </c>
      <c r="D26" s="12" t="inlineStr">
        <is>
          <t>Tamil Nadu</t>
        </is>
      </c>
      <c r="E26" s="13" t="inlineStr">
        <is>
          <t>CGST + SGST</t>
        </is>
      </c>
      <c r="F26" s="12" t="inlineStr">
        <is>
          <t>CGST 50% + SGST 50%</t>
        </is>
      </c>
      <c r="G26" s="12" t="inlineStr">
        <is>
          <t>Hotel property in Tamil Nadu — intra-state</t>
        </is>
      </c>
    </row>
    <row r="27" ht="26" customHeight="1">
      <c r="A27" s="5" t="inlineStr">
        <is>
          <t>26</t>
        </is>
      </c>
      <c r="B27" s="6" t="inlineStr">
        <is>
          <t>Chennai exporter ships garments to USA</t>
        </is>
      </c>
      <c r="C27" s="6" t="inlineStr">
        <is>
          <t>Tamil Nadu</t>
        </is>
      </c>
      <c r="D27" s="6" t="inlineStr">
        <is>
          <t>Outside India (USA)</t>
        </is>
      </c>
      <c r="E27" s="7" t="inlineStr">
        <is>
          <t>IGST (Zero-rated)</t>
        </is>
      </c>
      <c r="F27" s="6" t="inlineStr">
        <is>
          <t>IGST @ 0% — refund claimable</t>
        </is>
      </c>
      <c r="G27" s="6" t="inlineStr">
        <is>
          <t>Export is zero-rated; IGST refund or LUT applicable</t>
        </is>
      </c>
    </row>
    <row r="28" ht="26" customHeight="1">
      <c r="A28" s="2" t="inlineStr">
        <is>
          <t>27</t>
        </is>
      </c>
      <c r="B28" s="3" t="inlineStr">
        <is>
          <t>Mumbai jeweller exports gold to UAE</t>
        </is>
      </c>
      <c r="C28" s="3" t="inlineStr">
        <is>
          <t>Maharashtra</t>
        </is>
      </c>
      <c r="D28" s="3" t="inlineStr">
        <is>
          <t>Outside India (UAE)</t>
        </is>
      </c>
      <c r="E28" s="4" t="inlineStr">
        <is>
          <t>IGST (Zero-rated)</t>
        </is>
      </c>
      <c r="F28" s="3" t="inlineStr">
        <is>
          <t>IGST @ 0% — refund claimable</t>
        </is>
      </c>
      <c r="G28" s="3" t="inlineStr">
        <is>
          <t>Export of goods — zero-rated supply</t>
        </is>
      </c>
    </row>
    <row r="29" ht="26" customHeight="1">
      <c r="A29" s="5" t="inlineStr">
        <is>
          <t>28</t>
        </is>
      </c>
      <c r="B29" s="6" t="inlineStr">
        <is>
          <t>Bengaluru IT company exports software to UK client</t>
        </is>
      </c>
      <c r="C29" s="6" t="inlineStr">
        <is>
          <t>Karnataka</t>
        </is>
      </c>
      <c r="D29" s="6" t="inlineStr">
        <is>
          <t>Outside India (UK)</t>
        </is>
      </c>
      <c r="E29" s="7" t="inlineStr">
        <is>
          <t>IGST (Zero-rated)</t>
        </is>
      </c>
      <c r="F29" s="6" t="inlineStr">
        <is>
          <t>IGST @ 0% — refund claimable</t>
        </is>
      </c>
      <c r="G29" s="6" t="inlineStr">
        <is>
          <t>Export of services — zero-rated</t>
        </is>
      </c>
    </row>
    <row r="30" ht="26" customHeight="1">
      <c r="A30" s="2" t="inlineStr">
        <is>
          <t>29</t>
        </is>
      </c>
      <c r="B30" s="3" t="inlineStr">
        <is>
          <t>Import of machinery from Germany into India</t>
        </is>
      </c>
      <c r="C30" s="3" t="inlineStr">
        <is>
          <t>Germany</t>
        </is>
      </c>
      <c r="D30" s="3" t="inlineStr">
        <is>
          <t>India (Port of Entry)</t>
        </is>
      </c>
      <c r="E30" s="4" t="inlineStr">
        <is>
          <t>IGST</t>
        </is>
      </c>
      <c r="F30" s="3" t="inlineStr">
        <is>
          <t>IGST = BCD + GST on CIF value</t>
        </is>
      </c>
      <c r="G30" s="3" t="inlineStr">
        <is>
          <t>Import is inter-state; levied at customs</t>
        </is>
      </c>
    </row>
    <row r="31" ht="26" customHeight="1">
      <c r="A31" s="5" t="inlineStr">
        <is>
          <t>30</t>
        </is>
      </c>
      <c r="B31" s="6" t="inlineStr">
        <is>
          <t>Import of electronic components from China</t>
        </is>
      </c>
      <c r="C31" s="6" t="inlineStr">
        <is>
          <t>China</t>
        </is>
      </c>
      <c r="D31" s="6" t="inlineStr">
        <is>
          <t>India</t>
        </is>
      </c>
      <c r="E31" s="7" t="inlineStr">
        <is>
          <t>IGST</t>
        </is>
      </c>
      <c r="F31" s="6" t="inlineStr">
        <is>
          <t>IGST at applicable rate on customs value</t>
        </is>
      </c>
      <c r="G31" s="6" t="inlineStr">
        <is>
          <t>Imports always attract IGST</t>
        </is>
      </c>
    </row>
    <row r="32" ht="26" customHeight="1">
      <c r="A32" s="2" t="inlineStr">
        <is>
          <t>31</t>
        </is>
      </c>
      <c r="B32" s="3" t="inlineStr">
        <is>
          <t>Amazon ships product from Karnataka warehouse to Maharashtra customer</t>
        </is>
      </c>
      <c r="C32" s="3" t="inlineStr">
        <is>
          <t>Karnataka</t>
        </is>
      </c>
      <c r="D32" s="3" t="inlineStr">
        <is>
          <t>Maharashtra</t>
        </is>
      </c>
      <c r="E32" s="4" t="inlineStr">
        <is>
          <t>IGST</t>
        </is>
      </c>
      <c r="F32" s="3" t="inlineStr">
        <is>
          <t>Full GST rate as IGST</t>
        </is>
      </c>
      <c r="G32" s="3" t="inlineStr">
        <is>
          <t>Inter-state e-commerce delivery</t>
        </is>
      </c>
    </row>
    <row r="33" ht="26" customHeight="1">
      <c r="A33" s="8" t="inlineStr">
        <is>
          <t>32</t>
        </is>
      </c>
      <c r="B33" s="9" t="inlineStr">
        <is>
          <t>Flipkart delivers within same state (Delhi to Delhi)</t>
        </is>
      </c>
      <c r="C33" s="9" t="inlineStr">
        <is>
          <t>Delhi</t>
        </is>
      </c>
      <c r="D33" s="9" t="inlineStr">
        <is>
          <t>Delhi</t>
        </is>
      </c>
      <c r="E33" s="10" t="inlineStr">
        <is>
          <t>CGST + SGST</t>
        </is>
      </c>
      <c r="F33" s="9" t="inlineStr">
        <is>
          <t>CGST 50% + SGST 50%</t>
        </is>
      </c>
      <c r="G33" s="9" t="inlineStr">
        <is>
          <t>Intra-state e-commerce — same state</t>
        </is>
      </c>
    </row>
    <row r="34" ht="26" customHeight="1">
      <c r="A34" s="2" t="inlineStr">
        <is>
          <t>33</t>
        </is>
      </c>
      <c r="B34" s="3" t="inlineStr">
        <is>
          <t>Meesho ships fashion from Rajasthan to Gujarat buyer</t>
        </is>
      </c>
      <c r="C34" s="3" t="inlineStr">
        <is>
          <t>Rajasthan</t>
        </is>
      </c>
      <c r="D34" s="3" t="inlineStr">
        <is>
          <t>Gujarat</t>
        </is>
      </c>
      <c r="E34" s="4" t="inlineStr">
        <is>
          <t>IGST</t>
        </is>
      </c>
      <c r="F34" s="3" t="inlineStr">
        <is>
          <t>Full GST rate as IGST</t>
        </is>
      </c>
      <c r="G34" s="3" t="inlineStr">
        <is>
          <t>Inter-state e-commerce</t>
        </is>
      </c>
    </row>
    <row r="35" ht="26" customHeight="1">
      <c r="A35" s="8" t="inlineStr">
        <is>
          <t>34</t>
        </is>
      </c>
      <c r="B35" s="9" t="inlineStr">
        <is>
          <t>Zomato delivers food within same city / state</t>
        </is>
      </c>
      <c r="C35" s="9" t="inlineStr">
        <is>
          <t>Various</t>
        </is>
      </c>
      <c r="D35" s="9" t="inlineStr">
        <is>
          <t>Same State</t>
        </is>
      </c>
      <c r="E35" s="10" t="inlineStr">
        <is>
          <t>CGST + SGST</t>
        </is>
      </c>
      <c r="F35" s="9" t="inlineStr">
        <is>
          <t>CGST 50% + SGST 50%</t>
        </is>
      </c>
      <c r="G35" s="9" t="inlineStr">
        <is>
          <t>Intra-state food delivery</t>
        </is>
      </c>
    </row>
    <row r="36" ht="26" customHeight="1">
      <c r="A36" s="11" t="inlineStr">
        <is>
          <t>35</t>
        </is>
      </c>
      <c r="B36" s="12" t="inlineStr">
        <is>
          <t>Swiggy Instamart delivers groceries within city</t>
        </is>
      </c>
      <c r="C36" s="12" t="inlineStr">
        <is>
          <t>Karnataka</t>
        </is>
      </c>
      <c r="D36" s="12" t="inlineStr">
        <is>
          <t>Karnataka</t>
        </is>
      </c>
      <c r="E36" s="13" t="inlineStr">
        <is>
          <t>CGST + SGST</t>
        </is>
      </c>
      <c r="F36" s="12" t="inlineStr">
        <is>
          <t>CGST 50% + SGST 50%</t>
        </is>
      </c>
      <c r="G36" s="12" t="inlineStr">
        <is>
          <t>Intra-state quick commerce</t>
        </is>
      </c>
    </row>
    <row r="37" ht="26" customHeight="1">
      <c r="A37" s="5" t="inlineStr">
        <is>
          <t>36</t>
        </is>
      </c>
      <c r="B37" s="6" t="inlineStr">
        <is>
          <t>Company purchases goods from SEZ unit in same state</t>
        </is>
      </c>
      <c r="C37" s="6" t="inlineStr">
        <is>
          <t>Maharashtra (Non-SEZ)</t>
        </is>
      </c>
      <c r="D37" s="6" t="inlineStr">
        <is>
          <t>Maharashtra (SEZ)</t>
        </is>
      </c>
      <c r="E37" s="7" t="inlineStr">
        <is>
          <t>IGST</t>
        </is>
      </c>
      <c r="F37" s="6" t="inlineStr">
        <is>
          <t>Full GST rate as IGST</t>
        </is>
      </c>
      <c r="G37" s="6" t="inlineStr">
        <is>
          <t>SEZ supplies always treated as inter-state regardless of location</t>
        </is>
      </c>
    </row>
    <row r="38" ht="26" customHeight="1">
      <c r="A38" s="2" t="inlineStr">
        <is>
          <t>37</t>
        </is>
      </c>
      <c r="B38" s="3" t="inlineStr">
        <is>
          <t>SEZ developer provides service to DTA unit</t>
        </is>
      </c>
      <c r="C38" s="3" t="inlineStr">
        <is>
          <t>Gujarat (SEZ)</t>
        </is>
      </c>
      <c r="D38" s="3" t="inlineStr">
        <is>
          <t>Gujarat (DTA)</t>
        </is>
      </c>
      <c r="E38" s="4" t="inlineStr">
        <is>
          <t>IGST</t>
        </is>
      </c>
      <c r="F38" s="3" t="inlineStr">
        <is>
          <t>Full GST rate as IGST</t>
        </is>
      </c>
      <c r="G38" s="3" t="inlineStr">
        <is>
          <t>SEZ to DTA supply — treated as import / inter-state</t>
        </is>
      </c>
    </row>
    <row r="39" ht="26" customHeight="1">
      <c r="A39" s="8" t="inlineStr">
        <is>
          <t>38</t>
        </is>
      </c>
      <c r="B39" s="9" t="inlineStr">
        <is>
          <t>Chandigarh vendor sells to local Chandigarh buyer</t>
        </is>
      </c>
      <c r="C39" s="9" t="inlineStr">
        <is>
          <t>Chandigarh (UT)</t>
        </is>
      </c>
      <c r="D39" s="9" t="inlineStr">
        <is>
          <t>Chandigarh (UT)</t>
        </is>
      </c>
      <c r="E39" s="10" t="inlineStr">
        <is>
          <t>CGST + UTGST</t>
        </is>
      </c>
      <c r="F39" s="9" t="inlineStr">
        <is>
          <t>CGST 50% + UTGST 50%</t>
        </is>
      </c>
      <c r="G39" s="9" t="inlineStr">
        <is>
          <t>Union Territory — UTGST replaces SGST</t>
        </is>
      </c>
    </row>
    <row r="40" ht="26" customHeight="1">
      <c r="A40" s="11" t="inlineStr">
        <is>
          <t>39</t>
        </is>
      </c>
      <c r="B40" s="12" t="inlineStr">
        <is>
          <t>Puducherry trader sells goods within Puducherry</t>
        </is>
      </c>
      <c r="C40" s="12" t="inlineStr">
        <is>
          <t>Puducherry (UT)</t>
        </is>
      </c>
      <c r="D40" s="12" t="inlineStr">
        <is>
          <t>Puducherry (UT)</t>
        </is>
      </c>
      <c r="E40" s="13" t="inlineStr">
        <is>
          <t>CGST + UTGST</t>
        </is>
      </c>
      <c r="F40" s="12" t="inlineStr">
        <is>
          <t>CGST 50% + UTGST 50%</t>
        </is>
      </c>
      <c r="G40" s="12" t="inlineStr">
        <is>
          <t>Intra-UT supply — UTGST applies</t>
        </is>
      </c>
    </row>
    <row r="41" ht="26" customHeight="1">
      <c r="A41" s="8" t="inlineStr">
        <is>
          <t>40</t>
        </is>
      </c>
      <c r="B41" s="9" t="inlineStr">
        <is>
          <t>Andaman supplier sells to local buyer</t>
        </is>
      </c>
      <c r="C41" s="9" t="inlineStr">
        <is>
          <t>Andaman &amp; Nicobar (UT)</t>
        </is>
      </c>
      <c r="D41" s="9" t="inlineStr">
        <is>
          <t>Andaman &amp; Nicobar (UT)</t>
        </is>
      </c>
      <c r="E41" s="10" t="inlineStr">
        <is>
          <t>CGST + UTGST</t>
        </is>
      </c>
      <c r="F41" s="9" t="inlineStr">
        <is>
          <t>CGST 50% + UTGST 50%</t>
        </is>
      </c>
      <c r="G41" s="9" t="inlineStr">
        <is>
          <t>UT with legislature — UTGST applies</t>
        </is>
      </c>
    </row>
    <row r="42" ht="26" customHeight="1">
      <c r="A42" s="2" t="inlineStr">
        <is>
          <t>41</t>
        </is>
      </c>
      <c r="B42" s="3" t="inlineStr">
        <is>
          <t>Indian startup subscribes to Google Cloud (OIDAR)</t>
        </is>
      </c>
      <c r="C42" s="3" t="inlineStr">
        <is>
          <t>Google (Ireland)</t>
        </is>
      </c>
      <c r="D42" s="3" t="inlineStr">
        <is>
          <t>Karnataka</t>
        </is>
      </c>
      <c r="E42" s="4" t="inlineStr">
        <is>
          <t>IGST (RCM)</t>
        </is>
      </c>
      <c r="F42" s="3" t="inlineStr">
        <is>
          <t>IGST on Reverse Charge — recipient pays</t>
        </is>
      </c>
      <c r="G42" s="3" t="inlineStr">
        <is>
          <t>Cross-border OIDAR: recipient liable under RCM</t>
        </is>
      </c>
    </row>
    <row r="43" ht="26" customHeight="1">
      <c r="A43" s="5" t="inlineStr">
        <is>
          <t>42</t>
        </is>
      </c>
      <c r="B43" s="6" t="inlineStr">
        <is>
          <t>Indian firm buys Adobe Creative Cloud from abroad</t>
        </is>
      </c>
      <c r="C43" s="6" t="inlineStr">
        <is>
          <t>Adobe (USA)</t>
        </is>
      </c>
      <c r="D43" s="6" t="inlineStr">
        <is>
          <t>Maharashtra</t>
        </is>
      </c>
      <c r="E43" s="7" t="inlineStr">
        <is>
          <t>IGST (RCM)</t>
        </is>
      </c>
      <c r="F43" s="6" t="inlineStr">
        <is>
          <t>IGST on Reverse Charge — recipient pays</t>
        </is>
      </c>
      <c r="G43" s="6" t="inlineStr">
        <is>
          <t>Imported digital service — RCM applies</t>
        </is>
      </c>
    </row>
    <row r="44" ht="26" customHeight="1">
      <c r="A44" s="2" t="inlineStr">
        <is>
          <t>43</t>
        </is>
      </c>
      <c r="B44" s="3" t="inlineStr">
        <is>
          <t>Indian business buys Facebook/Meta ads</t>
        </is>
      </c>
      <c r="C44" s="3" t="inlineStr">
        <is>
          <t>Meta (USA)</t>
        </is>
      </c>
      <c r="D44" s="3" t="inlineStr">
        <is>
          <t>India</t>
        </is>
      </c>
      <c r="E44" s="4" t="inlineStr">
        <is>
          <t>IGST (RCM)</t>
        </is>
      </c>
      <c r="F44" s="3" t="inlineStr">
        <is>
          <t>IGST on Reverse Charge — recipient pays</t>
        </is>
      </c>
      <c r="G44" s="3" t="inlineStr">
        <is>
          <t>Online advertising import — RCM</t>
        </is>
      </c>
    </row>
    <row r="45" ht="26" customHeight="1">
      <c r="A45" s="5" t="inlineStr">
        <is>
          <t>44</t>
        </is>
      </c>
      <c r="B45" s="6" t="inlineStr">
        <is>
          <t>Freight carrier transports goods Chennai to Mumbai</t>
        </is>
      </c>
      <c r="C45" s="6" t="inlineStr">
        <is>
          <t>Tamil Nadu</t>
        </is>
      </c>
      <c r="D45" s="6" t="inlineStr">
        <is>
          <t>Maharashtra</t>
        </is>
      </c>
      <c r="E45" s="7" t="inlineStr">
        <is>
          <t>IGST</t>
        </is>
      </c>
      <c r="F45" s="6" t="inlineStr">
        <is>
          <t>Full GST rate as IGST</t>
        </is>
      </c>
      <c r="G45" s="6" t="inlineStr">
        <is>
          <t>Transport service crossing state border</t>
        </is>
      </c>
    </row>
    <row r="46" ht="26" customHeight="1">
      <c r="A46" s="11" t="inlineStr">
        <is>
          <t>45</t>
        </is>
      </c>
      <c r="B46" s="12" t="inlineStr">
        <is>
          <t>Local city courier delivers within Bengaluru</t>
        </is>
      </c>
      <c r="C46" s="12" t="inlineStr">
        <is>
          <t>Karnataka</t>
        </is>
      </c>
      <c r="D46" s="12" t="inlineStr">
        <is>
          <t>Karnataka</t>
        </is>
      </c>
      <c r="E46" s="13" t="inlineStr">
        <is>
          <t>CGST + SGST</t>
        </is>
      </c>
      <c r="F46" s="12" t="inlineStr">
        <is>
          <t>CGST 50% + SGST 50%</t>
        </is>
      </c>
      <c r="G46" s="12" t="inlineStr">
        <is>
          <t>Intra-state courier service</t>
        </is>
      </c>
    </row>
    <row r="47" ht="26" customHeight="1">
      <c r="A47" s="5" t="inlineStr">
        <is>
          <t>46</t>
        </is>
      </c>
      <c r="B47" s="6" t="inlineStr">
        <is>
          <t>Ocean freight on imported goods</t>
        </is>
      </c>
      <c r="C47" s="6" t="inlineStr">
        <is>
          <t>Overseas carrier</t>
        </is>
      </c>
      <c r="D47" s="6" t="inlineStr">
        <is>
          <t>India</t>
        </is>
      </c>
      <c r="E47" s="7" t="inlineStr">
        <is>
          <t>IGST</t>
        </is>
      </c>
      <c r="F47" s="6" t="inlineStr">
        <is>
          <t>IGST on ocean freight value</t>
        </is>
      </c>
      <c r="G47" s="6" t="inlineStr">
        <is>
          <t>International freight is inter-state</t>
        </is>
      </c>
    </row>
    <row r="48" ht="26" customHeight="1">
      <c r="A48" s="11" t="inlineStr">
        <is>
          <t>47</t>
        </is>
      </c>
      <c r="B48" s="12" t="inlineStr">
        <is>
          <t>Builder executes construction works within same state</t>
        </is>
      </c>
      <c r="C48" s="12" t="inlineStr">
        <is>
          <t>Karnataka</t>
        </is>
      </c>
      <c r="D48" s="12" t="inlineStr">
        <is>
          <t>Karnataka</t>
        </is>
      </c>
      <c r="E48" s="13" t="inlineStr">
        <is>
          <t>CGST + SGST</t>
        </is>
      </c>
      <c r="F48" s="12" t="inlineStr">
        <is>
          <t>CGST 50% + SGST 50%</t>
        </is>
      </c>
      <c r="G48" s="12" t="inlineStr">
        <is>
          <t>Works contract — intra-state; immovable property</t>
        </is>
      </c>
    </row>
    <row r="49" ht="26" customHeight="1">
      <c r="A49" s="5" t="inlineStr">
        <is>
          <t>48</t>
        </is>
      </c>
      <c r="B49" s="6" t="inlineStr">
        <is>
          <t>Builder constructs factory for client in another state</t>
        </is>
      </c>
      <c r="C49" s="6" t="inlineStr">
        <is>
          <t>Maharashtra</t>
        </is>
      </c>
      <c r="D49" s="6" t="inlineStr">
        <is>
          <t>Gujarat</t>
        </is>
      </c>
      <c r="E49" s="7" t="inlineStr">
        <is>
          <t>IGST</t>
        </is>
      </c>
      <c r="F49" s="6" t="inlineStr">
        <is>
          <t>Full GST rate as IGST</t>
        </is>
      </c>
      <c r="G49" s="6" t="inlineStr">
        <is>
          <t>Works contract — inter-state; immovable property in Gujarat</t>
        </is>
      </c>
    </row>
    <row r="50" ht="26" customHeight="1">
      <c r="A50" s="11" t="inlineStr">
        <is>
          <t>49</t>
        </is>
      </c>
      <c r="B50" s="12" t="inlineStr">
        <is>
          <t>Embroidery job work within same state</t>
        </is>
      </c>
      <c r="C50" s="12" t="inlineStr">
        <is>
          <t>Gujarat</t>
        </is>
      </c>
      <c r="D50" s="12" t="inlineStr">
        <is>
          <t>Gujarat</t>
        </is>
      </c>
      <c r="E50" s="13" t="inlineStr">
        <is>
          <t>CGST + SGST</t>
        </is>
      </c>
      <c r="F50" s="12" t="inlineStr">
        <is>
          <t>CGST 50% + SGST 50%</t>
        </is>
      </c>
      <c r="G50" s="12" t="inlineStr">
        <is>
          <t>Job work — intra-state</t>
        </is>
      </c>
    </row>
    <row r="51" ht="26" customHeight="1">
      <c r="A51" s="5" t="inlineStr">
        <is>
          <t>50</t>
        </is>
      </c>
      <c r="B51" s="6" t="inlineStr">
        <is>
          <t>Job work on goods sent from another state</t>
        </is>
      </c>
      <c r="C51" s="6" t="inlineStr">
        <is>
          <t>Punjab (job worker)</t>
        </is>
      </c>
      <c r="D51" s="6" t="inlineStr">
        <is>
          <t>Punjab</t>
        </is>
      </c>
      <c r="E51" s="7" t="inlineStr">
        <is>
          <t>IGST</t>
        </is>
      </c>
      <c r="F51" s="6" t="inlineStr">
        <is>
          <t>Full GST rate as IGST</t>
        </is>
      </c>
      <c r="G51" s="6" t="inlineStr">
        <is>
          <t>Job work — goods sent from Haryana principal to Punjab worker</t>
        </is>
      </c>
    </row>
  </sheetData>
  <autoFilter ref="A1:G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20" customWidth="1" min="4" max="4"/>
    <col width="22" customWidth="1" min="5" max="5"/>
    <col width="38" customWidth="1" min="6" max="6"/>
  </cols>
  <sheetData>
    <row r="1" ht="30" customHeight="1">
      <c r="A1" s="1" t="inlineStr">
        <is>
          <t>Step</t>
        </is>
      </c>
      <c r="B1" s="1" t="inlineStr">
        <is>
          <t>Question / Check</t>
        </is>
      </c>
      <c r="C1" s="1" t="inlineStr">
        <is>
          <t>Condition</t>
        </is>
      </c>
      <c r="D1" s="1" t="inlineStr">
        <is>
          <t>Answer</t>
        </is>
      </c>
      <c r="E1" s="1" t="inlineStr">
        <is>
          <t>Tax Type</t>
        </is>
      </c>
      <c r="F1" s="1" t="inlineStr">
        <is>
          <t>Example</t>
        </is>
      </c>
    </row>
    <row r="2" ht="28" customHeight="1">
      <c r="A2" s="11" t="inlineStr">
        <is>
          <t>1</t>
        </is>
      </c>
      <c r="B2" s="12" t="inlineStr">
        <is>
          <t>Is the supply a movement of goods / provision of service?</t>
        </is>
      </c>
      <c r="C2" s="12" t="inlineStr">
        <is>
          <t>Both supplier &amp; POS in same state</t>
        </is>
      </c>
      <c r="D2" s="11" t="inlineStr">
        <is>
          <t>YES → Same State</t>
        </is>
      </c>
      <c r="E2" s="13" t="inlineStr">
        <is>
          <t>CGST + SGST</t>
        </is>
      </c>
      <c r="F2" s="12" t="inlineStr">
        <is>
          <t>Mumbai seller → Mumbai buyer</t>
        </is>
      </c>
    </row>
    <row r="3" ht="28" customHeight="1">
      <c r="A3" s="2" t="inlineStr">
        <is>
          <t>1</t>
        </is>
      </c>
      <c r="B3" s="3" t="inlineStr">
        <is>
          <t>Is the supply a movement of goods / provision of service?</t>
        </is>
      </c>
      <c r="C3" s="3" t="inlineStr">
        <is>
          <t>Supplier state ≠ Place of Supply state</t>
        </is>
      </c>
      <c r="D3" s="2" t="inlineStr">
        <is>
          <t>YES → Different State</t>
        </is>
      </c>
      <c r="E3" s="4" t="inlineStr">
        <is>
          <t>IGST</t>
        </is>
      </c>
      <c r="F3" s="3" t="inlineStr">
        <is>
          <t>Mumbai seller → Pune buyer</t>
        </is>
      </c>
    </row>
    <row r="4" ht="28" customHeight="1">
      <c r="A4" s="2" t="inlineStr">
        <is>
          <t>2</t>
        </is>
      </c>
      <c r="B4" s="3" t="inlineStr">
        <is>
          <t>Is it an Export of goods or services?</t>
        </is>
      </c>
      <c r="C4" s="3" t="inlineStr">
        <is>
          <t>Goods / services going outside India</t>
        </is>
      </c>
      <c r="D4" s="2" t="inlineStr">
        <is>
          <t>Yes</t>
        </is>
      </c>
      <c r="E4" s="4" t="inlineStr">
        <is>
          <t>IGST (Zero-rated @ 0%)</t>
        </is>
      </c>
      <c r="F4" s="3" t="inlineStr">
        <is>
          <t>Indian exporter → USA client</t>
        </is>
      </c>
    </row>
    <row r="5" ht="28" customHeight="1">
      <c r="A5" s="2" t="inlineStr">
        <is>
          <t>3</t>
        </is>
      </c>
      <c r="B5" s="3" t="inlineStr">
        <is>
          <t>Is it an Import of goods or services?</t>
        </is>
      </c>
      <c r="C5" s="3" t="inlineStr">
        <is>
          <t>Goods / services coming from outside India</t>
        </is>
      </c>
      <c r="D5" s="2" t="inlineStr">
        <is>
          <t>Yes</t>
        </is>
      </c>
      <c r="E5" s="4" t="inlineStr">
        <is>
          <t>IGST (at customs / RCM)</t>
        </is>
      </c>
      <c r="F5" s="3" t="inlineStr">
        <is>
          <t>German machinery imported into India</t>
        </is>
      </c>
    </row>
    <row r="6" ht="28" customHeight="1">
      <c r="A6" s="2" t="inlineStr">
        <is>
          <t>4</t>
        </is>
      </c>
      <c r="B6" s="3" t="inlineStr">
        <is>
          <t>Is the supplier in a Special Economic Zone (SEZ)?</t>
        </is>
      </c>
      <c r="C6" s="3" t="inlineStr">
        <is>
          <t>SEZ unit supplying to Domestic Tariff Area (DTA)</t>
        </is>
      </c>
      <c r="D6" s="2" t="inlineStr">
        <is>
          <t>Yes</t>
        </is>
      </c>
      <c r="E6" s="4" t="inlineStr">
        <is>
          <t>IGST</t>
        </is>
      </c>
      <c r="F6" s="3" t="inlineStr">
        <is>
          <t>SEZ in Gujarat → DTA buyer in Gujarat</t>
        </is>
      </c>
    </row>
    <row r="7" ht="28" customHeight="1">
      <c r="A7" s="11" t="inlineStr">
        <is>
          <t>5</t>
        </is>
      </c>
      <c r="B7" s="12" t="inlineStr">
        <is>
          <t>Is the supply in a Union Territory (UT)?</t>
        </is>
      </c>
      <c r="C7" s="12" t="inlineStr">
        <is>
          <t>Supplier and POS both in same UT</t>
        </is>
      </c>
      <c r="D7" s="11" t="inlineStr">
        <is>
          <t>Yes</t>
        </is>
      </c>
      <c r="E7" s="13" t="inlineStr">
        <is>
          <t>CGST + UTGST</t>
        </is>
      </c>
      <c r="F7" s="12" t="inlineStr">
        <is>
          <t>Chandigarh seller → Chandigarh buyer</t>
        </is>
      </c>
    </row>
    <row r="8" ht="28" customHeight="1">
      <c r="A8" s="2" t="inlineStr">
        <is>
          <t>6</t>
        </is>
      </c>
      <c r="B8" s="3" t="inlineStr">
        <is>
          <t>Is it an OIDAR / Digital Service from abroad?</t>
        </is>
      </c>
      <c r="C8" s="3" t="inlineStr">
        <is>
          <t>Foreign entity provides digital service to India</t>
        </is>
      </c>
      <c r="D8" s="2" t="inlineStr">
        <is>
          <t>Yes</t>
        </is>
      </c>
      <c r="E8" s="4" t="inlineStr">
        <is>
          <t>IGST on RCM (recipient pays)</t>
        </is>
      </c>
      <c r="F8" s="3" t="inlineStr">
        <is>
          <t>Google Cloud subscription from Ireland</t>
        </is>
      </c>
    </row>
    <row r="9" ht="28" customHeight="1">
      <c r="A9" s="11" t="inlineStr">
        <is>
          <t>7</t>
        </is>
      </c>
      <c r="B9" s="12" t="inlineStr">
        <is>
          <t>Is it a hotel / immovable property service?</t>
        </is>
      </c>
      <c r="C9" s="12" t="inlineStr">
        <is>
          <t>Service related to immovable property</t>
        </is>
      </c>
      <c r="D9" s="11" t="inlineStr">
        <is>
          <t>Yes → POS = property location</t>
        </is>
      </c>
      <c r="E9" s="13" t="inlineStr">
        <is>
          <t>CGST + SGST if property in same state</t>
        </is>
      </c>
      <c r="F9" s="12" t="inlineStr">
        <is>
          <t>Delhi hotel hosting guests from UP → CGST+SGST (Delhi)</t>
        </is>
      </c>
    </row>
    <row r="10" ht="28" customHeight="1">
      <c r="A10" s="2" t="inlineStr">
        <is>
          <t>8</t>
        </is>
      </c>
      <c r="B10" s="3" t="inlineStr">
        <is>
          <t>Is it a transport / freight service?</t>
        </is>
      </c>
      <c r="C10" s="3" t="inlineStr">
        <is>
          <t>Transport crossing state borders</t>
        </is>
      </c>
      <c r="D10" s="2" t="inlineStr">
        <is>
          <t>Yes</t>
        </is>
      </c>
      <c r="E10" s="4" t="inlineStr">
        <is>
          <t>IGST</t>
        </is>
      </c>
      <c r="F10" s="3" t="inlineStr">
        <is>
          <t>Chennai → Mumbai freight</t>
        </is>
      </c>
    </row>
    <row r="11" ht="28" customHeight="1">
      <c r="A11" s="11" t="inlineStr">
        <is>
          <t>8</t>
        </is>
      </c>
      <c r="B11" s="12" t="inlineStr">
        <is>
          <t>Is it a transport / freight service?</t>
        </is>
      </c>
      <c r="C11" s="12" t="inlineStr">
        <is>
          <t>Transport within same state</t>
        </is>
      </c>
      <c r="D11" s="11" t="inlineStr">
        <is>
          <t>No</t>
        </is>
      </c>
      <c r="E11" s="13" t="inlineStr">
        <is>
          <t>CGST + SGST</t>
        </is>
      </c>
      <c r="F11" s="12" t="inlineStr">
        <is>
          <t>Local Bengaluru courier</t>
        </is>
      </c>
    </row>
    <row r="12" ht="28" customHeight="1">
      <c r="A12" s="11" t="inlineStr">
        <is>
          <t>9</t>
        </is>
      </c>
      <c r="B12" s="12" t="inlineStr">
        <is>
          <t>Is it a works contract on immovable property?</t>
        </is>
      </c>
      <c r="C12" s="12" t="inlineStr">
        <is>
          <t>Construction within same state</t>
        </is>
      </c>
      <c r="D12" s="11" t="inlineStr">
        <is>
          <t>Same State</t>
        </is>
      </c>
      <c r="E12" s="13" t="inlineStr">
        <is>
          <t>CGST + SGST</t>
        </is>
      </c>
      <c r="F12" s="12" t="inlineStr">
        <is>
          <t>Karnataka builder → Karnataka project</t>
        </is>
      </c>
    </row>
    <row r="13" ht="28" customHeight="1">
      <c r="A13" s="2" t="inlineStr">
        <is>
          <t>9</t>
        </is>
      </c>
      <c r="B13" s="3" t="inlineStr">
        <is>
          <t>Is it a works contract on immovable property?</t>
        </is>
      </c>
      <c r="C13" s="3" t="inlineStr">
        <is>
          <t>Construction in another state</t>
        </is>
      </c>
      <c r="D13" s="2" t="inlineStr">
        <is>
          <t>Different State</t>
        </is>
      </c>
      <c r="E13" s="4" t="inlineStr">
        <is>
          <t>IGST</t>
        </is>
      </c>
      <c r="F13" s="3" t="inlineStr">
        <is>
          <t>Maharashtra builder → Gujarat project</t>
        </is>
      </c>
    </row>
    <row r="14" ht="28" customHeight="1">
      <c r="A14" s="11" t="inlineStr">
        <is>
          <t>10</t>
        </is>
      </c>
      <c r="B14" s="12" t="inlineStr">
        <is>
          <t>General Rule — Goods / Services</t>
        </is>
      </c>
      <c r="C14" s="12" t="inlineStr">
        <is>
          <t>Supplier state = Place of Supply state</t>
        </is>
      </c>
      <c r="D14" s="11" t="inlineStr">
        <is>
          <t>Same State</t>
        </is>
      </c>
      <c r="E14" s="13" t="inlineStr">
        <is>
          <t>CGST + SGST</t>
        </is>
      </c>
      <c r="F14" s="12" t="inlineStr">
        <is>
          <t>All other intra-state transactions</t>
        </is>
      </c>
    </row>
    <row r="15" ht="28" customHeight="1">
      <c r="A15" s="2" t="inlineStr">
        <is>
          <t>10</t>
        </is>
      </c>
      <c r="B15" s="3" t="inlineStr">
        <is>
          <t>General Rule — Goods / Services</t>
        </is>
      </c>
      <c r="C15" s="3" t="inlineStr">
        <is>
          <t>Supplier state ≠ Place of Supply state</t>
        </is>
      </c>
      <c r="D15" s="2" t="inlineStr">
        <is>
          <t>Different State</t>
        </is>
      </c>
      <c r="E15" s="4" t="inlineStr">
        <is>
          <t>IGST</t>
        </is>
      </c>
      <c r="F15" s="3" t="inlineStr">
        <is>
          <t>All other inter-state transactions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35" customWidth="1" min="4" max="4"/>
    <col width="20" customWidth="1" min="5" max="5"/>
  </cols>
  <sheetData>
    <row r="1" ht="30" customHeight="1">
      <c r="A1" s="1" t="inlineStr">
        <is>
          <t>#</t>
        </is>
      </c>
      <c r="B1" s="1" t="inlineStr">
        <is>
          <t>Category of Supply</t>
        </is>
      </c>
      <c r="C1" s="1" t="inlineStr">
        <is>
          <t>Place of Supply Rule</t>
        </is>
      </c>
      <c r="D1" s="1" t="inlineStr">
        <is>
          <t>Example</t>
        </is>
      </c>
      <c r="E1" s="1" t="inlineStr">
        <is>
          <t>Tax Implication</t>
        </is>
      </c>
    </row>
    <row r="2" ht="30" customHeight="1">
      <c r="A2" s="2" t="inlineStr">
        <is>
          <t>1</t>
        </is>
      </c>
      <c r="B2" s="3" t="inlineStr">
        <is>
          <t>Goods involving movement</t>
        </is>
      </c>
      <c r="C2" s="3" t="inlineStr">
        <is>
          <t>Location where movement terminates (buyer's location)</t>
        </is>
      </c>
      <c r="D2" s="3" t="inlineStr">
        <is>
          <t>Seller in Delhi, buyer in Mumbai → POS = Mumbai</t>
        </is>
      </c>
      <c r="E2" s="4" t="inlineStr">
        <is>
          <t>IGST (inter-state)</t>
        </is>
      </c>
    </row>
    <row r="3" ht="30" customHeight="1">
      <c r="A3" s="8" t="inlineStr">
        <is>
          <t>2</t>
        </is>
      </c>
      <c r="B3" s="9" t="inlineStr">
        <is>
          <t>Goods installed / assembled at site</t>
        </is>
      </c>
      <c r="C3" s="9" t="inlineStr">
        <is>
          <t>Place of installation / assembly</t>
        </is>
      </c>
      <c r="D3" s="9" t="inlineStr">
        <is>
          <t>Machine installed in Pune → POS = Pune (Maharashtra)</t>
        </is>
      </c>
      <c r="E3" s="10" t="inlineStr">
        <is>
          <t>CGST+SGST if supplier also in Maharashtra</t>
        </is>
      </c>
    </row>
    <row r="4" ht="30" customHeight="1">
      <c r="A4" s="11" t="inlineStr">
        <is>
          <t>3</t>
        </is>
      </c>
      <c r="B4" s="12" t="inlineStr">
        <is>
          <t>Goods on board carrier (train/ship/air)</t>
        </is>
      </c>
      <c r="C4" s="12" t="inlineStr">
        <is>
          <t>Location where goods taken on board</t>
        </is>
      </c>
      <c r="D4" s="12" t="inlineStr">
        <is>
          <t>Goods boarded in Chennai → POS = Tamil Nadu</t>
        </is>
      </c>
      <c r="E4" s="13" t="inlineStr">
        <is>
          <t>Determines state tax</t>
        </is>
      </c>
    </row>
    <row r="5" ht="30" customHeight="1">
      <c r="A5" s="8" t="inlineStr">
        <is>
          <t>4</t>
        </is>
      </c>
      <c r="B5" s="9" t="inlineStr">
        <is>
          <t>Immovable property services</t>
        </is>
      </c>
      <c r="C5" s="9" t="inlineStr">
        <is>
          <t>Location of property</t>
        </is>
      </c>
      <c r="D5" s="9" t="inlineStr">
        <is>
          <t>Hotel in Goa, guest from Delhi → POS = Goa</t>
        </is>
      </c>
      <c r="E5" s="10" t="inlineStr">
        <is>
          <t>CGST+SGST (Goa)</t>
        </is>
      </c>
    </row>
    <row r="6" ht="30" customHeight="1">
      <c r="A6" s="11" t="inlineStr">
        <is>
          <t>5</t>
        </is>
      </c>
      <c r="B6" s="12" t="inlineStr">
        <is>
          <t>Restaurant / catering services</t>
        </is>
      </c>
      <c r="C6" s="12" t="inlineStr">
        <is>
          <t>Location where services actually performed</t>
        </is>
      </c>
      <c r="D6" s="12" t="inlineStr">
        <is>
          <t>Restaurant in Bengaluru → POS = Karnataka</t>
        </is>
      </c>
      <c r="E6" s="13" t="inlineStr">
        <is>
          <t>CGST+SGST (Karnataka)</t>
        </is>
      </c>
    </row>
    <row r="7" ht="30" customHeight="1">
      <c r="A7" s="8" t="inlineStr">
        <is>
          <t>6</t>
        </is>
      </c>
      <c r="B7" s="9" t="inlineStr">
        <is>
          <t>Services related to training / personal appearance</t>
        </is>
      </c>
      <c r="C7" s="9" t="inlineStr">
        <is>
          <t>Location where services performed</t>
        </is>
      </c>
      <c r="D7" s="9" t="inlineStr">
        <is>
          <t>Training conducted in Mumbai → POS = Maharashtra</t>
        </is>
      </c>
      <c r="E7" s="10" t="inlineStr">
        <is>
          <t>CGST+SGST if supplier also in Maharashtra</t>
        </is>
      </c>
    </row>
    <row r="8" ht="30" customHeight="1">
      <c r="A8" s="2" t="inlineStr">
        <is>
          <t>7</t>
        </is>
      </c>
      <c r="B8" s="3" t="inlineStr">
        <is>
          <t>Transport of goods (excluding courier)</t>
        </is>
      </c>
      <c r="C8" s="3" t="inlineStr">
        <is>
          <t>Location of recipient</t>
        </is>
      </c>
      <c r="D8" s="3" t="inlineStr">
        <is>
          <t>Transporter in TN ships goods, recipient in MH → POS = MH</t>
        </is>
      </c>
      <c r="E8" s="4" t="inlineStr">
        <is>
          <t>IGST (inter-state)</t>
        </is>
      </c>
    </row>
    <row r="9" ht="30" customHeight="1">
      <c r="A9" s="8" t="inlineStr">
        <is>
          <t>8</t>
        </is>
      </c>
      <c r="B9" s="9" t="inlineStr">
        <is>
          <t>Passenger transport service</t>
        </is>
      </c>
      <c r="C9" s="9" t="inlineStr">
        <is>
          <t>Location where passenger embarks</t>
        </is>
      </c>
      <c r="D9" s="9" t="inlineStr">
        <is>
          <t>Flight departure from Delhi → POS = Delhi</t>
        </is>
      </c>
      <c r="E9" s="10" t="inlineStr">
        <is>
          <t>CGST+SGST if supplier in Delhi</t>
        </is>
      </c>
    </row>
    <row r="10" ht="30" customHeight="1">
      <c r="A10" s="11" t="inlineStr">
        <is>
          <t>9</t>
        </is>
      </c>
      <c r="B10" s="12" t="inlineStr">
        <is>
          <t>Services on board conveyance (ship/train/air)</t>
        </is>
      </c>
      <c r="C10" s="12" t="inlineStr">
        <is>
          <t>First scheduled point of departure</t>
        </is>
      </c>
      <c r="D10" s="12" t="inlineStr">
        <is>
          <t>Mumbai to Goa flight service → POS = Maharashtra</t>
        </is>
      </c>
      <c r="E10" s="13" t="inlineStr">
        <is>
          <t>CGST+SGST if supplier in MH</t>
        </is>
      </c>
    </row>
    <row r="11" ht="30" customHeight="1">
      <c r="A11" s="8" t="inlineStr">
        <is>
          <t>10</t>
        </is>
      </c>
      <c r="B11" s="9" t="inlineStr">
        <is>
          <t>Telecom services (fixed line, broadband)</t>
        </is>
      </c>
      <c r="C11" s="9" t="inlineStr">
        <is>
          <t>Location of fixed equipment / home address</t>
        </is>
      </c>
      <c r="D11" s="9" t="inlineStr">
        <is>
          <t>Broadband subscriber in Pune → POS = Maharashtra</t>
        </is>
      </c>
      <c r="E11" s="10" t="inlineStr">
        <is>
          <t>CGST+SGST</t>
        </is>
      </c>
    </row>
    <row r="12" ht="30" customHeight="1">
      <c r="A12" s="2" t="inlineStr">
        <is>
          <t>11</t>
        </is>
      </c>
      <c r="B12" s="3" t="inlineStr">
        <is>
          <t>Banking and financial services</t>
        </is>
      </c>
      <c r="C12" s="3" t="inlineStr">
        <is>
          <t>Location of recipient (if registered) else supplier's location</t>
        </is>
      </c>
      <c r="D12" s="3" t="inlineStr">
        <is>
          <t>Bank in Mumbai, corporate client registered in Delhi → POS = Delhi</t>
        </is>
      </c>
      <c r="E12" s="4" t="inlineStr">
        <is>
          <t>IGST</t>
        </is>
      </c>
    </row>
    <row r="13" ht="30" customHeight="1">
      <c r="A13" s="8" t="inlineStr">
        <is>
          <t>12</t>
        </is>
      </c>
      <c r="B13" s="9" t="inlineStr">
        <is>
          <t>Insurance services</t>
        </is>
      </c>
      <c r="C13" s="9" t="inlineStr">
        <is>
          <t>Location of recipient</t>
        </is>
      </c>
      <c r="D13" s="9" t="inlineStr">
        <is>
          <t>Policyholder in Karnataka → POS = Karnataka</t>
        </is>
      </c>
      <c r="E13" s="10" t="inlineStr">
        <is>
          <t>CGST+SGST if insurer also in Karnataka</t>
        </is>
      </c>
    </row>
    <row r="14" ht="30" customHeight="1">
      <c r="A14" s="2" t="inlineStr">
        <is>
          <t>13</t>
        </is>
      </c>
      <c r="B14" s="3" t="inlineStr">
        <is>
          <t>Advertisement services to Central/State Govt</t>
        </is>
      </c>
      <c r="C14" s="3" t="inlineStr">
        <is>
          <t>Each state / UT where ads are displayed</t>
        </is>
      </c>
      <c r="D14" s="3" t="inlineStr">
        <is>
          <t>Ad campaign across multiple states → POS split state-wise</t>
        </is>
      </c>
      <c r="E14" s="4" t="inlineStr">
        <is>
          <t>IGST to each state separately</t>
        </is>
      </c>
    </row>
    <row r="15" ht="30" customHeight="1">
      <c r="A15" s="2" t="inlineStr">
        <is>
          <t>14</t>
        </is>
      </c>
      <c r="B15" s="3" t="inlineStr">
        <is>
          <t>OIDAR / Online digital services</t>
        </is>
      </c>
      <c r="C15" s="3" t="inlineStr">
        <is>
          <t>Location of recipient</t>
        </is>
      </c>
      <c r="D15" s="3" t="inlineStr">
        <is>
          <t>Google cloud to Indian startup in Karnataka → POS = Karnataka</t>
        </is>
      </c>
      <c r="E15" s="4" t="inlineStr">
        <is>
          <t>IGST (RCM)</t>
        </is>
      </c>
    </row>
    <row r="16" ht="30" customHeight="1">
      <c r="A16" s="2" t="inlineStr">
        <is>
          <t>15</t>
        </is>
      </c>
      <c r="B16" s="3" t="inlineStr">
        <is>
          <t>Courier / speed post services</t>
        </is>
      </c>
      <c r="C16" s="3" t="inlineStr">
        <is>
          <t>Location of recipient</t>
        </is>
      </c>
      <c r="D16" s="3" t="inlineStr">
        <is>
          <t>Courier to Gujarat recipient → POS = Gujarat</t>
        </is>
      </c>
      <c r="E16" s="4" t="inlineStr">
        <is>
          <t>IGST if supplier in another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30" customHeight="1">
      <c r="A1" s="14" t="inlineStr">
        <is>
          <t>GST Tax Calculator — IGST vs CGST+SGST</t>
        </is>
      </c>
    </row>
    <row r="2" ht="28" customHeight="1">
      <c r="A2" s="1" t="inlineStr">
        <is>
          <t>GST Rate Slab &amp; Items</t>
        </is>
      </c>
      <c r="B2" s="1" t="inlineStr">
        <is>
          <t>Taxable Value (₹)</t>
        </is>
      </c>
      <c r="C2" s="1" t="inlineStr">
        <is>
          <t>IGST (₹)</t>
        </is>
      </c>
      <c r="D2" s="1" t="inlineStr">
        <is>
          <t>CGST (₹)</t>
        </is>
      </c>
      <c r="E2" s="1" t="inlineStr">
        <is>
          <t>SGST (₹)</t>
        </is>
      </c>
      <c r="F2" s="1" t="inlineStr">
        <is>
          <t>Total Tax (₹)</t>
        </is>
      </c>
      <c r="G2" s="1" t="inlineStr">
        <is>
          <t>Items Covered</t>
        </is>
      </c>
    </row>
    <row r="3" ht="30" customHeight="1">
      <c r="A3" s="15" t="inlineStr">
        <is>
          <t>0% — Basic Essentials</t>
        </is>
      </c>
      <c r="B3" s="16" t="n">
        <v>10000</v>
      </c>
      <c r="C3" s="17">
        <f>B3*0/100</f>
        <v/>
      </c>
      <c r="D3" s="18">
        <f>B3*0/200</f>
        <v/>
      </c>
      <c r="E3" s="18">
        <f>B3*0/200</f>
        <v/>
      </c>
      <c r="F3" s="19">
        <f>C3</f>
        <v/>
      </c>
      <c r="G3" s="20" t="inlineStr">
        <is>
          <t>Fresh fruits &amp; vegetables, milk, eggs, rice, wheat, bread, salt, educational services by Govt, health care by hospitals</t>
        </is>
      </c>
    </row>
    <row r="4" ht="30" customHeight="1">
      <c r="A4" s="21" t="inlineStr">
        <is>
          <t>5% — Daily Use / Necessities</t>
        </is>
      </c>
      <c r="B4" s="22" t="n">
        <v>10000</v>
      </c>
      <c r="C4" s="17">
        <f>B4*5/100</f>
        <v/>
      </c>
      <c r="D4" s="18">
        <f>B4*5/200</f>
        <v/>
      </c>
      <c r="E4" s="18">
        <f>B4*5/200</f>
        <v/>
      </c>
      <c r="F4" s="19">
        <f>C4</f>
        <v/>
      </c>
      <c r="G4" s="23" t="inlineStr">
        <is>
          <t>Packaged food items, medicines (non-life saving), transport by rail/road, small restaurants (no AC)</t>
        </is>
      </c>
    </row>
    <row r="5" ht="30" customHeight="1">
      <c r="A5" s="15" t="inlineStr">
        <is>
          <t>12% — Standard Consumer Goods</t>
        </is>
      </c>
      <c r="B5" s="16" t="n">
        <v>10000</v>
      </c>
      <c r="C5" s="17">
        <f>B5*12/100</f>
        <v/>
      </c>
      <c r="D5" s="18">
        <f>B5*12/200</f>
        <v/>
      </c>
      <c r="E5" s="18">
        <f>B5*12/200</f>
        <v/>
      </c>
      <c r="F5" s="19">
        <f>C5</f>
        <v/>
      </c>
      <c r="G5" s="20" t="inlineStr">
        <is>
          <t>Processed food, business class air tickets, butter, cheese, fertilizers, mobile phones (earlier), job work on textiles</t>
        </is>
      </c>
    </row>
    <row r="6" ht="30" customHeight="1">
      <c r="A6" s="21" t="inlineStr">
        <is>
          <t>18% — Most Goods &amp; Services</t>
        </is>
      </c>
      <c r="B6" s="22" t="n">
        <v>10000</v>
      </c>
      <c r="C6" s="17">
        <f>B6*18/100</f>
        <v/>
      </c>
      <c r="D6" s="18">
        <f>B6*18/200</f>
        <v/>
      </c>
      <c r="E6" s="18">
        <f>B6*18/200</f>
        <v/>
      </c>
      <c r="F6" s="19">
        <f>C6</f>
        <v/>
      </c>
      <c r="G6" s="23" t="inlineStr">
        <is>
          <t>Electronics, IT services, financial services, restaurants (with AC), construction services, FMCG, computers</t>
        </is>
      </c>
    </row>
    <row r="7" ht="30" customHeight="1">
      <c r="A7" s="15" t="inlineStr">
        <is>
          <t>28% — Luxury / Demerit Goods</t>
        </is>
      </c>
      <c r="B7" s="16" t="n">
        <v>10000</v>
      </c>
      <c r="C7" s="17">
        <f>B7*28/100</f>
        <v/>
      </c>
      <c r="D7" s="18">
        <f>B7*28/200</f>
        <v/>
      </c>
      <c r="E7" s="18">
        <f>B7*28/200</f>
        <v/>
      </c>
      <c r="F7" s="19">
        <f>C7</f>
        <v/>
      </c>
      <c r="G7" s="20" t="inlineStr">
        <is>
          <t>Automobiles, aerated soft drinks, tobacco products, pan masala, luxury watches, casinos, race clubs</t>
        </is>
      </c>
    </row>
    <row r="8" ht="30" customHeight="1">
      <c r="A8" s="21" t="inlineStr">
        <is>
          <t>0% Export (Zero-rated)</t>
        </is>
      </c>
      <c r="B8" s="22" t="n">
        <v>10000</v>
      </c>
      <c r="C8" s="17">
        <f>B8*0/100</f>
        <v/>
      </c>
      <c r="D8" s="18">
        <f>B8*0/200</f>
        <v/>
      </c>
      <c r="E8" s="18">
        <f>B8*0/200</f>
        <v/>
      </c>
      <c r="F8" s="19">
        <f>C8</f>
        <v/>
      </c>
      <c r="G8" s="23" t="inlineStr">
        <is>
          <t>All exported goods &amp; services — IGST refundable or LUT route</t>
        </is>
      </c>
    </row>
    <row r="9" ht="30" customHeight="1">
      <c r="A9" s="15" t="inlineStr">
        <is>
          <t>5% Inter-state Sample</t>
        </is>
      </c>
      <c r="B9" s="16" t="n">
        <v>25000</v>
      </c>
      <c r="C9" s="17">
        <f>B9*5/100</f>
        <v/>
      </c>
      <c r="D9" s="18">
        <f>B9*5/200</f>
        <v/>
      </c>
      <c r="E9" s="18">
        <f>B9*5/200</f>
        <v/>
      </c>
      <c r="F9" s="19">
        <f>C9</f>
        <v/>
      </c>
      <c r="G9" s="20" t="inlineStr">
        <is>
          <t>Sample calculation for 5% rate on ₹25,000 inter-state transaction</t>
        </is>
      </c>
    </row>
    <row r="10" ht="30" customHeight="1">
      <c r="A10" s="21" t="inlineStr">
        <is>
          <t>12% Inter-state Sample</t>
        </is>
      </c>
      <c r="B10" s="22" t="n">
        <v>50000</v>
      </c>
      <c r="C10" s="17">
        <f>B10*12/100</f>
        <v/>
      </c>
      <c r="D10" s="18">
        <f>B10*12/200</f>
        <v/>
      </c>
      <c r="E10" s="18">
        <f>B10*12/200</f>
        <v/>
      </c>
      <c r="F10" s="19">
        <f>C10</f>
        <v/>
      </c>
      <c r="G10" s="23" t="inlineStr">
        <is>
          <t>Sample calculation for 12% rate on ₹50,000 inter-state transaction</t>
        </is>
      </c>
    </row>
    <row r="11" ht="30" customHeight="1">
      <c r="A11" s="15" t="inlineStr">
        <is>
          <t>18% Intra-state Sample</t>
        </is>
      </c>
      <c r="B11" s="16" t="n">
        <v>75000</v>
      </c>
      <c r="C11" s="17">
        <f>B11*18/100</f>
        <v/>
      </c>
      <c r="D11" s="18">
        <f>B11*18/200</f>
        <v/>
      </c>
      <c r="E11" s="18">
        <f>B11*18/200</f>
        <v/>
      </c>
      <c r="F11" s="19">
        <f>C11</f>
        <v/>
      </c>
      <c r="G11" s="20" t="inlineStr">
        <is>
          <t>Sample calculation for 18% rate on ₹75,000 intra-state transaction</t>
        </is>
      </c>
    </row>
    <row r="12" ht="30" customHeight="1">
      <c r="A12" s="21" t="inlineStr">
        <is>
          <t>28% Luxury Sample</t>
        </is>
      </c>
      <c r="B12" s="22" t="n">
        <v>100000</v>
      </c>
      <c r="C12" s="17">
        <f>B12*28/100</f>
        <v/>
      </c>
      <c r="D12" s="18">
        <f>B12*28/200</f>
        <v/>
      </c>
      <c r="E12" s="18">
        <f>B12*28/200</f>
        <v/>
      </c>
      <c r="F12" s="19">
        <f>C12</f>
        <v/>
      </c>
      <c r="G12" s="23" t="inlineStr">
        <is>
          <t>Sample calculation for 28% rate on ₹1,00,000 luxury goods transaction</t>
        </is>
      </c>
    </row>
    <row r="14" ht="30" customHeight="1">
      <c r="A14" s="24" t="inlineStr">
        <is>
          <t>NOTE: IGST = Full GST rate. CGST = SGST = Half of GST rate each. Total tax burden is identical in both IGST and CGST+SGST cases. Change Taxable Value (Column B) to recalculate automatically.</t>
        </is>
      </c>
    </row>
  </sheetData>
  <mergeCells count="2">
    <mergeCell ref="A14:G1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25" customWidth="1" min="4" max="4"/>
    <col width="20" customWidth="1" min="5" max="5"/>
    <col width="32" customWidth="1" min="6" max="6"/>
  </cols>
  <sheetData>
    <row r="1" ht="30" customHeight="1">
      <c r="A1" s="25" t="inlineStr">
        <is>
          <t>#</t>
        </is>
      </c>
      <c r="B1" s="25" t="inlineStr">
        <is>
          <t>Service / Supply</t>
        </is>
      </c>
      <c r="C1" s="25" t="inlineStr">
        <is>
          <t>Supplier</t>
        </is>
      </c>
      <c r="D1" s="25" t="inlineStr">
        <is>
          <t>Recipient</t>
        </is>
      </c>
      <c r="E1" s="25" t="inlineStr">
        <is>
          <t>Tax Type</t>
        </is>
      </c>
      <c r="F1" s="25" t="inlineStr">
        <is>
          <t>Who Pays GST</t>
        </is>
      </c>
    </row>
    <row r="2" ht="26" customHeight="1">
      <c r="A2" s="26" t="inlineStr">
        <is>
          <t>1</t>
        </is>
      </c>
      <c r="B2" s="27" t="inlineStr">
        <is>
          <t>Goods Transport Agency (GTA) services</t>
        </is>
      </c>
      <c r="C2" s="27" t="inlineStr">
        <is>
          <t>GTA (road transport)</t>
        </is>
      </c>
      <c r="D2" s="27" t="inlineStr">
        <is>
          <t>Registered business</t>
        </is>
      </c>
      <c r="E2" s="28" t="inlineStr">
        <is>
          <t>IGST / CGST+SGST</t>
        </is>
      </c>
      <c r="F2" s="27" t="inlineStr">
        <is>
          <t>Recipient pays under RCM</t>
        </is>
      </c>
    </row>
    <row r="3" ht="26" customHeight="1">
      <c r="A3" s="29" t="inlineStr">
        <is>
          <t>2</t>
        </is>
      </c>
      <c r="B3" s="30" t="inlineStr">
        <is>
          <t>Legal services by advocate</t>
        </is>
      </c>
      <c r="C3" s="30" t="inlineStr">
        <is>
          <t>Individual advocate / firm</t>
        </is>
      </c>
      <c r="D3" s="30" t="inlineStr">
        <is>
          <t>Business entity</t>
        </is>
      </c>
      <c r="E3" s="31" t="inlineStr">
        <is>
          <t>CGST + SGST</t>
        </is>
      </c>
      <c r="F3" s="30" t="inlineStr">
        <is>
          <t>Recipient (business) pays</t>
        </is>
      </c>
    </row>
    <row r="4" ht="26" customHeight="1">
      <c r="A4" s="26" t="inlineStr">
        <is>
          <t>3</t>
        </is>
      </c>
      <c r="B4" s="27" t="inlineStr">
        <is>
          <t>Services by Director to company</t>
        </is>
      </c>
      <c r="C4" s="27" t="inlineStr">
        <is>
          <t>Director (individual)</t>
        </is>
      </c>
      <c r="D4" s="27" t="inlineStr">
        <is>
          <t>Company</t>
        </is>
      </c>
      <c r="E4" s="28" t="inlineStr">
        <is>
          <t>CGST + SGST</t>
        </is>
      </c>
      <c r="F4" s="27" t="inlineStr">
        <is>
          <t>Company pays under RCM</t>
        </is>
      </c>
    </row>
    <row r="5" ht="26" customHeight="1">
      <c r="A5" s="29" t="inlineStr">
        <is>
          <t>4</t>
        </is>
      </c>
      <c r="B5" s="30" t="inlineStr">
        <is>
          <t>Import of services</t>
        </is>
      </c>
      <c r="C5" s="30" t="inlineStr">
        <is>
          <t>Foreign service provider</t>
        </is>
      </c>
      <c r="D5" s="30" t="inlineStr">
        <is>
          <t>Indian registered business</t>
        </is>
      </c>
      <c r="E5" s="31" t="inlineStr">
        <is>
          <t>IGST</t>
        </is>
      </c>
      <c r="F5" s="30" t="inlineStr">
        <is>
          <t>Indian recipient pays under RCM</t>
        </is>
      </c>
    </row>
    <row r="6" ht="26" customHeight="1">
      <c r="A6" s="26" t="inlineStr">
        <is>
          <t>5</t>
        </is>
      </c>
      <c r="B6" s="27" t="inlineStr">
        <is>
          <t>OIDAR services from abroad</t>
        </is>
      </c>
      <c r="C6" s="27" t="inlineStr">
        <is>
          <t>Foreign digital service provider</t>
        </is>
      </c>
      <c r="D6" s="27" t="inlineStr">
        <is>
          <t>Indian registered person</t>
        </is>
      </c>
      <c r="E6" s="28" t="inlineStr">
        <is>
          <t>IGST</t>
        </is>
      </c>
      <c r="F6" s="27" t="inlineStr">
        <is>
          <t>Indian recipient pays under RCM</t>
        </is>
      </c>
    </row>
    <row r="7" ht="26" customHeight="1">
      <c r="A7" s="29" t="inlineStr">
        <is>
          <t>6</t>
        </is>
      </c>
      <c r="B7" s="30" t="inlineStr">
        <is>
          <t>Renting of motor vehicle (cost value basis)</t>
        </is>
      </c>
      <c r="C7" s="30" t="inlineStr">
        <is>
          <t>Individual / HUF (unregistered)</t>
        </is>
      </c>
      <c r="D7" s="30" t="inlineStr">
        <is>
          <t>Body corporate</t>
        </is>
      </c>
      <c r="E7" s="31" t="inlineStr">
        <is>
          <t>CGST + SGST</t>
        </is>
      </c>
      <c r="F7" s="30" t="inlineStr">
        <is>
          <t>Body corporate pays</t>
        </is>
      </c>
    </row>
    <row r="8" ht="26" customHeight="1">
      <c r="A8" s="26" t="inlineStr">
        <is>
          <t>7</t>
        </is>
      </c>
      <c r="B8" s="27" t="inlineStr">
        <is>
          <t>Security services</t>
        </is>
      </c>
      <c r="C8" s="27" t="inlineStr">
        <is>
          <t>Any person (unregistered)</t>
        </is>
      </c>
      <c r="D8" s="27" t="inlineStr">
        <is>
          <t>Registered business</t>
        </is>
      </c>
      <c r="E8" s="28" t="inlineStr">
        <is>
          <t>CGST + SGST</t>
        </is>
      </c>
      <c r="F8" s="27" t="inlineStr">
        <is>
          <t>Registered recipient pays</t>
        </is>
      </c>
    </row>
    <row r="9" ht="26" customHeight="1">
      <c r="A9" s="29" t="inlineStr">
        <is>
          <t>8</t>
        </is>
      </c>
      <c r="B9" s="30" t="inlineStr">
        <is>
          <t>Services by author / music composer / photographer</t>
        </is>
      </c>
      <c r="C9" s="30" t="inlineStr">
        <is>
          <t>Individual author / artist</t>
        </is>
      </c>
      <c r="D9" s="30" t="inlineStr">
        <is>
          <t>Publisher / producer</t>
        </is>
      </c>
      <c r="E9" s="31" t="inlineStr">
        <is>
          <t>CGST + SGST</t>
        </is>
      </c>
      <c r="F9" s="30" t="inlineStr">
        <is>
          <t>Publisher pays under RCM</t>
        </is>
      </c>
    </row>
    <row r="10" ht="26" customHeight="1">
      <c r="A10" s="26" t="inlineStr">
        <is>
          <t>9</t>
        </is>
      </c>
      <c r="B10" s="27" t="inlineStr">
        <is>
          <t>Arbitral tribunal services</t>
        </is>
      </c>
      <c r="C10" s="27" t="inlineStr">
        <is>
          <t>Arbitral tribunal</t>
        </is>
      </c>
      <c r="D10" s="27" t="inlineStr">
        <is>
          <t>Business entity</t>
        </is>
      </c>
      <c r="E10" s="28" t="inlineStr">
        <is>
          <t>CGST + SGST</t>
        </is>
      </c>
      <c r="F10" s="27" t="inlineStr">
        <is>
          <t>Recipient (business) pays</t>
        </is>
      </c>
    </row>
    <row r="11" ht="26" customHeight="1">
      <c r="A11" s="29" t="inlineStr">
        <is>
          <t>10</t>
        </is>
      </c>
      <c r="B11" s="30" t="inlineStr">
        <is>
          <t>Government / local authority services</t>
        </is>
      </c>
      <c r="C11" s="30" t="inlineStr">
        <is>
          <t>Government / local authority</t>
        </is>
      </c>
      <c r="D11" s="30" t="inlineStr">
        <is>
          <t>Business entity</t>
        </is>
      </c>
      <c r="E11" s="31" t="inlineStr">
        <is>
          <t>CGST + SGST</t>
        </is>
      </c>
      <c r="F11" s="30" t="inlineStr">
        <is>
          <t>Business recipient pays</t>
        </is>
      </c>
    </row>
    <row r="12" ht="26" customHeight="1">
      <c r="A12" s="26" t="inlineStr">
        <is>
          <t>11</t>
        </is>
      </c>
      <c r="B12" s="27" t="inlineStr">
        <is>
          <t>Sponsorship services</t>
        </is>
      </c>
      <c r="C12" s="27" t="inlineStr">
        <is>
          <t>Any person</t>
        </is>
      </c>
      <c r="D12" s="27" t="inlineStr">
        <is>
          <t>Body corporate / partnership</t>
        </is>
      </c>
      <c r="E12" s="28" t="inlineStr">
        <is>
          <t>CGST + SGST</t>
        </is>
      </c>
      <c r="F12" s="27" t="inlineStr">
        <is>
          <t>Body corporate pays under RCM</t>
        </is>
      </c>
    </row>
    <row r="13" ht="26" customHeight="1">
      <c r="A13" s="29" t="inlineStr">
        <is>
          <t>12</t>
        </is>
      </c>
      <c r="B13" s="30" t="inlineStr">
        <is>
          <t>Insurance agent services</t>
        </is>
      </c>
      <c r="C13" s="30" t="inlineStr">
        <is>
          <t>Insurance agent</t>
        </is>
      </c>
      <c r="D13" s="30" t="inlineStr">
        <is>
          <t>Insurance company</t>
        </is>
      </c>
      <c r="E13" s="31" t="inlineStr">
        <is>
          <t>CGST + SGST</t>
        </is>
      </c>
      <c r="F13" s="30" t="inlineStr">
        <is>
          <t>Insurance company pays</t>
        </is>
      </c>
    </row>
    <row r="14" ht="26" customHeight="1">
      <c r="A14" s="26" t="inlineStr">
        <is>
          <t>13</t>
        </is>
      </c>
      <c r="B14" s="27" t="inlineStr">
        <is>
          <t>Recovery agent services</t>
        </is>
      </c>
      <c r="C14" s="27" t="inlineStr">
        <is>
          <t>Recovery agent</t>
        </is>
      </c>
      <c r="D14" s="27" t="inlineStr">
        <is>
          <t>Bank / NBFC</t>
        </is>
      </c>
      <c r="E14" s="28" t="inlineStr">
        <is>
          <t>CGST + SGST</t>
        </is>
      </c>
      <c r="F14" s="27" t="inlineStr">
        <is>
          <t>Bank / NBFC pays</t>
        </is>
      </c>
    </row>
    <row r="15" ht="26" customHeight="1">
      <c r="A15" s="29" t="inlineStr">
        <is>
          <t>14</t>
        </is>
      </c>
      <c r="B15" s="30" t="inlineStr">
        <is>
          <t>Supply of lottery (state govt)</t>
        </is>
      </c>
      <c r="C15" s="30" t="inlineStr">
        <is>
          <t>State government</t>
        </is>
      </c>
      <c r="D15" s="30" t="inlineStr">
        <is>
          <t>Lottery distributor / seller</t>
        </is>
      </c>
      <c r="E15" s="31" t="inlineStr">
        <is>
          <t>CGST + SGST</t>
        </is>
      </c>
      <c r="F15" s="30" t="inlineStr">
        <is>
          <t>Distributor pays</t>
        </is>
      </c>
    </row>
    <row r="16" ht="26" customHeight="1">
      <c r="A16" s="26" t="inlineStr">
        <is>
          <t>15</t>
        </is>
      </c>
      <c r="B16" s="27" t="inlineStr">
        <is>
          <t>Services by unregistered person to registered person (specified)</t>
        </is>
      </c>
      <c r="C16" s="27" t="inlineStr">
        <is>
          <t>Unregistered supplier</t>
        </is>
      </c>
      <c r="D16" s="27" t="inlineStr">
        <is>
          <t>Registered business (specified categories)</t>
        </is>
      </c>
      <c r="E16" s="28" t="inlineStr">
        <is>
          <t>CGST + SGST</t>
        </is>
      </c>
      <c r="F16" s="27" t="inlineStr">
        <is>
          <t>Registered recipient pays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0" customWidth="1" min="3" max="3"/>
    <col width="16" customWidth="1" min="4" max="4"/>
    <col width="36" customWidth="1" min="5" max="5"/>
  </cols>
  <sheetData>
    <row r="1" ht="30" customHeight="1">
      <c r="A1" s="32" t="inlineStr">
        <is>
          <t>#</t>
        </is>
      </c>
      <c r="B1" s="32" t="inlineStr">
        <is>
          <t>Exempt Supply</t>
        </is>
      </c>
      <c r="C1" s="32" t="inlineStr">
        <is>
          <t>Category</t>
        </is>
      </c>
      <c r="D1" s="32" t="inlineStr">
        <is>
          <t>GST Rate</t>
        </is>
      </c>
      <c r="E1" s="32" t="inlineStr">
        <is>
          <t>Notes</t>
        </is>
      </c>
    </row>
    <row r="2" ht="26" customHeight="1">
      <c r="A2" s="11" t="inlineStr">
        <is>
          <t>1</t>
        </is>
      </c>
      <c r="B2" s="12" t="inlineStr">
        <is>
          <t>Fresh fruits and vegetables (unprocessed)</t>
        </is>
      </c>
      <c r="C2" s="12" t="inlineStr">
        <is>
          <t>Agricultural produce</t>
        </is>
      </c>
      <c r="D2" s="13" t="inlineStr">
        <is>
          <t>0%</t>
        </is>
      </c>
      <c r="E2" s="12" t="inlineStr">
        <is>
          <t>No GST; basic necessities exempt</t>
        </is>
      </c>
    </row>
    <row r="3" ht="26" customHeight="1">
      <c r="A3" s="8" t="inlineStr">
        <is>
          <t>2</t>
        </is>
      </c>
      <c r="B3" s="9" t="inlineStr">
        <is>
          <t>Unbranded rice, wheat, cereals</t>
        </is>
      </c>
      <c r="C3" s="9" t="inlineStr">
        <is>
          <t>Staple food grains</t>
        </is>
      </c>
      <c r="D3" s="10" t="inlineStr">
        <is>
          <t>0%</t>
        </is>
      </c>
      <c r="E3" s="9" t="inlineStr">
        <is>
          <t>Packaged &amp; branded attract 5%</t>
        </is>
      </c>
    </row>
    <row r="4" ht="26" customHeight="1">
      <c r="A4" s="11" t="inlineStr">
        <is>
          <t>3</t>
        </is>
      </c>
      <c r="B4" s="12" t="inlineStr">
        <is>
          <t>Fresh milk, pasteurized milk</t>
        </is>
      </c>
      <c r="C4" s="12" t="inlineStr">
        <is>
          <t>Dairy</t>
        </is>
      </c>
      <c r="D4" s="13" t="inlineStr">
        <is>
          <t>0%</t>
        </is>
      </c>
      <c r="E4" s="12" t="inlineStr">
        <is>
          <t>Flavoured milk attracts 12%</t>
        </is>
      </c>
    </row>
    <row r="5" ht="26" customHeight="1">
      <c r="A5" s="8" t="inlineStr">
        <is>
          <t>4</t>
        </is>
      </c>
      <c r="B5" s="9" t="inlineStr">
        <is>
          <t>Eggs (fresh, not processed)</t>
        </is>
      </c>
      <c r="C5" s="9" t="inlineStr">
        <is>
          <t>Poultry products</t>
        </is>
      </c>
      <c r="D5" s="10" t="inlineStr">
        <is>
          <t>0%</t>
        </is>
      </c>
      <c r="E5" s="9" t="inlineStr">
        <is>
          <t>Exempt as agricultural produce</t>
        </is>
      </c>
    </row>
    <row r="6" ht="26" customHeight="1">
      <c r="A6" s="11" t="inlineStr">
        <is>
          <t>5</t>
        </is>
      </c>
      <c r="B6" s="12" t="inlineStr">
        <is>
          <t>Educational services by recognized institutions</t>
        </is>
      </c>
      <c r="C6" s="12" t="inlineStr">
        <is>
          <t>Education</t>
        </is>
      </c>
      <c r="D6" s="13" t="inlineStr">
        <is>
          <t>0%</t>
        </is>
      </c>
      <c r="E6" s="12" t="inlineStr">
        <is>
          <t>Govt / recognised private schools &amp; universities</t>
        </is>
      </c>
    </row>
    <row r="7" ht="26" customHeight="1">
      <c r="A7" s="8" t="inlineStr">
        <is>
          <t>6</t>
        </is>
      </c>
      <c r="B7" s="9" t="inlineStr">
        <is>
          <t>Healthcare services by hospitals &amp; doctors</t>
        </is>
      </c>
      <c r="C7" s="9" t="inlineStr">
        <is>
          <t>Health</t>
        </is>
      </c>
      <c r="D7" s="10" t="inlineStr">
        <is>
          <t>0%</t>
        </is>
      </c>
      <c r="E7" s="9" t="inlineStr">
        <is>
          <t>Clinical establishments fully exempt</t>
        </is>
      </c>
    </row>
    <row r="8" ht="26" customHeight="1">
      <c r="A8" s="11" t="inlineStr">
        <is>
          <t>7</t>
        </is>
      </c>
      <c r="B8" s="12" t="inlineStr">
        <is>
          <t>Religious and charitable services</t>
        </is>
      </c>
      <c r="C8" s="12" t="inlineStr">
        <is>
          <t>Religion / charity</t>
        </is>
      </c>
      <c r="D8" s="13" t="inlineStr">
        <is>
          <t>0%</t>
        </is>
      </c>
      <c r="E8" s="12" t="inlineStr">
        <is>
          <t>By entity registered u/s 12AA IT Act</t>
        </is>
      </c>
    </row>
    <row r="9" ht="26" customHeight="1">
      <c r="A9" s="8" t="inlineStr">
        <is>
          <t>8</t>
        </is>
      </c>
      <c r="B9" s="9" t="inlineStr">
        <is>
          <t>Public transport by metro, local train, ordinary bus</t>
        </is>
      </c>
      <c r="C9" s="9" t="inlineStr">
        <is>
          <t>Transport</t>
        </is>
      </c>
      <c r="D9" s="10" t="inlineStr">
        <is>
          <t>0%</t>
        </is>
      </c>
      <c r="E9" s="9" t="inlineStr">
        <is>
          <t>AC first class and air travel attract GST</t>
        </is>
      </c>
    </row>
    <row r="10" ht="26" customHeight="1">
      <c r="A10" s="11" t="inlineStr">
        <is>
          <t>9</t>
        </is>
      </c>
      <c r="B10" s="12" t="inlineStr">
        <is>
          <t>Postal services by India Post (basic)</t>
        </is>
      </c>
      <c r="C10" s="12" t="inlineStr">
        <is>
          <t>Government services</t>
        </is>
      </c>
      <c r="D10" s="13" t="inlineStr">
        <is>
          <t>0%</t>
        </is>
      </c>
      <c r="E10" s="12" t="inlineStr">
        <is>
          <t>Speed post &amp; courier attract GST</t>
        </is>
      </c>
    </row>
    <row r="11" ht="26" customHeight="1">
      <c r="A11" s="8" t="inlineStr">
        <is>
          <t>10</t>
        </is>
      </c>
      <c r="B11" s="9" t="inlineStr">
        <is>
          <t>Agricultural land lease / sale</t>
        </is>
      </c>
      <c r="C11" s="9" t="inlineStr">
        <is>
          <t>Immovable property</t>
        </is>
      </c>
      <c r="D11" s="10" t="inlineStr">
        <is>
          <t>0%</t>
        </is>
      </c>
      <c r="E11" s="9" t="inlineStr">
        <is>
          <t>Residential sale by builder — partial exemption</t>
        </is>
      </c>
    </row>
    <row r="12" ht="26" customHeight="1">
      <c r="A12" s="11" t="inlineStr">
        <is>
          <t>11</t>
        </is>
      </c>
      <c r="B12" s="12" t="inlineStr">
        <is>
          <t>Funeral, burial, cremation services</t>
        </is>
      </c>
      <c r="C12" s="12" t="inlineStr">
        <is>
          <t>Social services</t>
        </is>
      </c>
      <c r="D12" s="13" t="inlineStr">
        <is>
          <t>0%</t>
        </is>
      </c>
      <c r="E12" s="12" t="inlineStr">
        <is>
          <t>Fully exempt</t>
        </is>
      </c>
    </row>
    <row r="13" ht="26" customHeight="1">
      <c r="A13" s="8" t="inlineStr">
        <is>
          <t>12</t>
        </is>
      </c>
      <c r="B13" s="9" t="inlineStr">
        <is>
          <t>Government services (sovereign functions)</t>
        </is>
      </c>
      <c r="C13" s="9" t="inlineStr">
        <is>
          <t>Public services</t>
        </is>
      </c>
      <c r="D13" s="10" t="inlineStr">
        <is>
          <t>0%</t>
        </is>
      </c>
      <c r="E13" s="9" t="inlineStr">
        <is>
          <t>Defence, policing, judiciary — exempt</t>
        </is>
      </c>
    </row>
    <row r="14" ht="26" customHeight="1">
      <c r="A14" s="11" t="inlineStr">
        <is>
          <t>13</t>
        </is>
      </c>
      <c r="B14" s="12" t="inlineStr">
        <is>
          <t>Export of goods and services</t>
        </is>
      </c>
      <c r="C14" s="12" t="inlineStr">
        <is>
          <t>International trade</t>
        </is>
      </c>
      <c r="D14" s="13" t="inlineStr">
        <is>
          <t>0% (Zero-rated)</t>
        </is>
      </c>
      <c r="E14" s="12" t="inlineStr">
        <is>
          <t>IGST refundable or LUT route</t>
        </is>
      </c>
    </row>
    <row r="15" ht="26" customHeight="1">
      <c r="A15" s="8" t="inlineStr">
        <is>
          <t>14</t>
        </is>
      </c>
      <c r="B15" s="9" t="inlineStr">
        <is>
          <t>Supplies to SEZ / SEZ developer</t>
        </is>
      </c>
      <c r="C15" s="9" t="inlineStr">
        <is>
          <t>SEZ</t>
        </is>
      </c>
      <c r="D15" s="10" t="inlineStr">
        <is>
          <t>0% (Zero-rated)</t>
        </is>
      </c>
      <c r="E15" s="9" t="inlineStr">
        <is>
          <t>IGST refundable</t>
        </is>
      </c>
    </row>
    <row r="16" ht="26" customHeight="1">
      <c r="A16" s="11" t="inlineStr">
        <is>
          <t>15</t>
        </is>
      </c>
      <c r="B16" s="12" t="inlineStr">
        <is>
          <t>Services by RBI, SEBI, IRDA (regulatory)</t>
        </is>
      </c>
      <c r="C16" s="12" t="inlineStr">
        <is>
          <t>Financial regulators</t>
        </is>
      </c>
      <c r="D16" s="13" t="inlineStr">
        <is>
          <t>0%</t>
        </is>
      </c>
      <c r="E16" s="12" t="inlineStr">
        <is>
          <t>Regulatory / sovereign functions exempt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6" customHeight="1">
      <c r="A1" s="33" t="inlineStr">
        <is>
          <t>GST Dashboard — India GST Quick Reference</t>
        </is>
      </c>
    </row>
    <row r="2" ht="24" customHeight="1">
      <c r="A2" s="34" t="inlineStr"/>
      <c r="B2" s="34" t="inlineStr">
        <is>
          <t>IGST</t>
        </is>
      </c>
      <c r="C2" s="34" t="inlineStr">
        <is>
          <t>CGST</t>
        </is>
      </c>
      <c r="D2" s="34" t="inlineStr">
        <is>
          <t>SGST / UTGST</t>
        </is>
      </c>
      <c r="E2" s="34" t="inlineStr"/>
    </row>
    <row r="3" ht="24" customHeight="1">
      <c r="A3" s="35" t="inlineStr">
        <is>
          <t>Full Form</t>
        </is>
      </c>
      <c r="B3" s="29" t="inlineStr">
        <is>
          <t>Integrated GST</t>
        </is>
      </c>
      <c r="C3" s="29" t="inlineStr">
        <is>
          <t>Central GST</t>
        </is>
      </c>
      <c r="D3" s="29" t="inlineStr">
        <is>
          <t>State / UT GST</t>
        </is>
      </c>
      <c r="E3" s="29" t="inlineStr"/>
    </row>
    <row r="4" ht="24" customHeight="1">
      <c r="A4" s="36" t="inlineStr">
        <is>
          <t>When Charged</t>
        </is>
      </c>
      <c r="B4" s="37" t="inlineStr">
        <is>
          <t>Inter-state supply</t>
        </is>
      </c>
      <c r="C4" s="37" t="inlineStr">
        <is>
          <t>Intra-state supply</t>
        </is>
      </c>
      <c r="D4" s="37" t="inlineStr">
        <is>
          <t>Intra-state supply</t>
        </is>
      </c>
      <c r="E4" s="37" t="inlineStr"/>
    </row>
    <row r="5" ht="24" customHeight="1">
      <c r="A5" s="35" t="inlineStr">
        <is>
          <t>Collected By</t>
        </is>
      </c>
      <c r="B5" s="29" t="inlineStr">
        <is>
          <t>Central Government</t>
        </is>
      </c>
      <c r="C5" s="29" t="inlineStr">
        <is>
          <t>Central Government</t>
        </is>
      </c>
      <c r="D5" s="29" t="inlineStr">
        <is>
          <t>State Government</t>
        </is>
      </c>
      <c r="E5" s="29" t="inlineStr"/>
    </row>
    <row r="6" ht="24" customHeight="1">
      <c r="A6" s="36" t="inlineStr">
        <is>
          <t>Revenue Goes To</t>
        </is>
      </c>
      <c r="B6" s="37" t="inlineStr">
        <is>
          <t>Shared: Centre + Destination State</t>
        </is>
      </c>
      <c r="C6" s="37" t="inlineStr">
        <is>
          <t>Centre only</t>
        </is>
      </c>
      <c r="D6" s="37" t="inlineStr">
        <is>
          <t>State / UT only</t>
        </is>
      </c>
      <c r="E6" s="37" t="inlineStr"/>
    </row>
    <row r="7" ht="24" customHeight="1">
      <c r="A7" s="35" t="inlineStr">
        <is>
          <t>Rate (example 18%)</t>
        </is>
      </c>
      <c r="B7" s="29" t="inlineStr">
        <is>
          <t>18% full rate</t>
        </is>
      </c>
      <c r="C7" s="29" t="inlineStr">
        <is>
          <t>9% (half)</t>
        </is>
      </c>
      <c r="D7" s="29" t="inlineStr">
        <is>
          <t>9% (half)</t>
        </is>
      </c>
      <c r="E7" s="29" t="inlineStr"/>
    </row>
    <row r="8" ht="24" customHeight="1">
      <c r="A8" s="36" t="inlineStr">
        <is>
          <t>Total Tax Burden</t>
        </is>
      </c>
      <c r="B8" s="37" t="inlineStr">
        <is>
          <t>18%</t>
        </is>
      </c>
      <c r="C8" s="37" t="inlineStr">
        <is>
          <t>9% + 9% = 18%</t>
        </is>
      </c>
      <c r="D8" s="37" t="inlineStr">
        <is>
          <t>Included above</t>
        </is>
      </c>
      <c r="E8" s="37" t="inlineStr">
        <is>
          <t>Same total in both cases</t>
        </is>
      </c>
    </row>
    <row r="9" ht="24" customHeight="1">
      <c r="A9" s="35" t="inlineStr">
        <is>
          <t>Applicable Section</t>
        </is>
      </c>
      <c r="B9" s="29" t="inlineStr">
        <is>
          <t>Section 5, IGST Act</t>
        </is>
      </c>
      <c r="C9" s="29" t="inlineStr">
        <is>
          <t>Section 9, CGST Act</t>
        </is>
      </c>
      <c r="D9" s="29" t="inlineStr">
        <is>
          <t>Section 9, SGST Act</t>
        </is>
      </c>
      <c r="E9" s="29" t="inlineStr"/>
    </row>
    <row r="10" ht="24" customHeight="1">
      <c r="A10" s="36" t="inlineStr"/>
      <c r="B10" s="37" t="inlineStr"/>
      <c r="C10" s="37" t="inlineStr"/>
      <c r="D10" s="37" t="inlineStr"/>
      <c r="E10" s="37" t="inlineStr"/>
    </row>
    <row r="11" ht="24" customHeight="1">
      <c r="A11" s="34" t="inlineStr">
        <is>
          <t>KEY TRIGGER</t>
        </is>
      </c>
      <c r="B11" s="34" t="inlineStr">
        <is>
          <t>Supplier State ≠ POS</t>
        </is>
      </c>
      <c r="C11" s="34" t="inlineStr">
        <is>
          <t>Supplier State = POS</t>
        </is>
      </c>
      <c r="D11" s="34" t="inlineStr">
        <is>
          <t>Supplier State = POS</t>
        </is>
      </c>
      <c r="E11" s="34" t="inlineStr"/>
    </row>
    <row r="12" ht="24" customHeight="1">
      <c r="A12" s="36" t="inlineStr">
        <is>
          <t>Special: Export</t>
        </is>
      </c>
      <c r="B12" s="37" t="inlineStr">
        <is>
          <t>IGST @ 0% (zero-rated)</t>
        </is>
      </c>
      <c r="C12" s="37" t="inlineStr">
        <is>
          <t>Not applicable</t>
        </is>
      </c>
      <c r="D12" s="37" t="inlineStr">
        <is>
          <t>Not applicable</t>
        </is>
      </c>
      <c r="E12" s="37" t="inlineStr">
        <is>
          <t>Refund available</t>
        </is>
      </c>
    </row>
    <row r="13" ht="24" customHeight="1">
      <c r="A13" s="35" t="inlineStr">
        <is>
          <t>Special: Import</t>
        </is>
      </c>
      <c r="B13" s="29" t="inlineStr">
        <is>
          <t>IGST at customs / RCM</t>
        </is>
      </c>
      <c r="C13" s="29" t="inlineStr">
        <is>
          <t>Not applicable</t>
        </is>
      </c>
      <c r="D13" s="29" t="inlineStr">
        <is>
          <t>Not applicable</t>
        </is>
      </c>
      <c r="E13" s="29" t="inlineStr">
        <is>
          <t>Levied at port of entry</t>
        </is>
      </c>
    </row>
    <row r="14" ht="24" customHeight="1">
      <c r="A14" s="36" t="inlineStr">
        <is>
          <t>Special: SEZ supply</t>
        </is>
      </c>
      <c r="B14" s="37" t="inlineStr">
        <is>
          <t>Always IGST</t>
        </is>
      </c>
      <c r="C14" s="37" t="inlineStr">
        <is>
          <t>Not applicable</t>
        </is>
      </c>
      <c r="D14" s="37" t="inlineStr">
        <is>
          <t>Not applicable</t>
        </is>
      </c>
      <c r="E14" s="37" t="inlineStr">
        <is>
          <t>Even if same state</t>
        </is>
      </c>
    </row>
    <row r="15" ht="24" customHeight="1">
      <c r="A15" s="35" t="inlineStr">
        <is>
          <t>Special: UT supply</t>
        </is>
      </c>
      <c r="B15" s="29" t="inlineStr">
        <is>
          <t>Not applicable</t>
        </is>
      </c>
      <c r="C15" s="29" t="inlineStr">
        <is>
          <t>CGST applies</t>
        </is>
      </c>
      <c r="D15" s="29" t="inlineStr">
        <is>
          <t>UTGST (not SGST)</t>
        </is>
      </c>
      <c r="E15" s="29" t="inlineStr">
        <is>
          <t>UTGST replaces SGST</t>
        </is>
      </c>
    </row>
    <row r="16" ht="24" customHeight="1">
      <c r="A16" s="36" t="inlineStr">
        <is>
          <t>Special: RCM</t>
        </is>
      </c>
      <c r="B16" s="37" t="inlineStr">
        <is>
          <t>IGST / CGST+SGST</t>
        </is>
      </c>
      <c r="C16" s="37" t="inlineStr">
        <is>
          <t>Varies by supply</t>
        </is>
      </c>
      <c r="D16" s="37" t="inlineStr">
        <is>
          <t>Varies by supply</t>
        </is>
      </c>
      <c r="E16" s="37" t="inlineStr">
        <is>
          <t>Recipient pays GST</t>
        </is>
      </c>
    </row>
    <row r="20" ht="26" customHeight="1">
      <c r="A20" s="38" t="inlineStr">
        <is>
          <t>GST RATE SLABS QUICK REFERENCE</t>
        </is>
      </c>
    </row>
    <row r="21">
      <c r="A21" s="1" t="inlineStr">
        <is>
          <t>Rate</t>
        </is>
      </c>
      <c r="B21" s="1" t="inlineStr">
        <is>
          <t>IGST</t>
        </is>
      </c>
      <c r="C21" s="1" t="inlineStr">
        <is>
          <t>CGST</t>
        </is>
      </c>
      <c r="D21" s="1" t="inlineStr">
        <is>
          <t>SGST</t>
        </is>
      </c>
      <c r="E21" s="1" t="inlineStr">
        <is>
          <t>Sample Items</t>
        </is>
      </c>
    </row>
    <row r="22" ht="22" customHeight="1">
      <c r="A22" s="39" t="inlineStr">
        <is>
          <t>0%</t>
        </is>
      </c>
      <c r="B22" s="2" t="inlineStr">
        <is>
          <t>₹0</t>
        </is>
      </c>
      <c r="C22" s="2" t="inlineStr">
        <is>
          <t>₹0</t>
        </is>
      </c>
      <c r="D22" s="2" t="inlineStr">
        <is>
          <t>₹0</t>
        </is>
      </c>
      <c r="E22" s="3" t="inlineStr">
        <is>
          <t>Vegetables, milk, healthcare, education</t>
        </is>
      </c>
    </row>
    <row r="23" ht="22" customHeight="1">
      <c r="A23" s="40" t="inlineStr">
        <is>
          <t>5%</t>
        </is>
      </c>
      <c r="B23" s="5" t="inlineStr">
        <is>
          <t>5%</t>
        </is>
      </c>
      <c r="C23" s="5" t="inlineStr">
        <is>
          <t>2.5%</t>
        </is>
      </c>
      <c r="D23" s="5" t="inlineStr">
        <is>
          <t>2.5%</t>
        </is>
      </c>
      <c r="E23" s="6" t="inlineStr">
        <is>
          <t>Packaged food, medicines, transport</t>
        </is>
      </c>
    </row>
    <row r="24" ht="22" customHeight="1">
      <c r="A24" s="39" t="inlineStr">
        <is>
          <t>12%</t>
        </is>
      </c>
      <c r="B24" s="2" t="inlineStr">
        <is>
          <t>12%</t>
        </is>
      </c>
      <c r="C24" s="2" t="inlineStr">
        <is>
          <t>6%</t>
        </is>
      </c>
      <c r="D24" s="2" t="inlineStr">
        <is>
          <t>6%</t>
        </is>
      </c>
      <c r="E24" s="3" t="inlineStr">
        <is>
          <t>Processed food, business air travel</t>
        </is>
      </c>
    </row>
    <row r="25" ht="22" customHeight="1">
      <c r="A25" s="40" t="inlineStr">
        <is>
          <t>18%</t>
        </is>
      </c>
      <c r="B25" s="5" t="inlineStr">
        <is>
          <t>18%</t>
        </is>
      </c>
      <c r="C25" s="5" t="inlineStr">
        <is>
          <t>9%</t>
        </is>
      </c>
      <c r="D25" s="5" t="inlineStr">
        <is>
          <t>9%</t>
        </is>
      </c>
      <c r="E25" s="6" t="inlineStr">
        <is>
          <t>Electronics, services, AC restaurants</t>
        </is>
      </c>
    </row>
    <row r="26" ht="22" customHeight="1">
      <c r="A26" s="39" t="inlineStr">
        <is>
          <t>28%</t>
        </is>
      </c>
      <c r="B26" s="2" t="inlineStr">
        <is>
          <t>28%</t>
        </is>
      </c>
      <c r="C26" s="2" t="inlineStr">
        <is>
          <t>14%</t>
        </is>
      </c>
      <c r="D26" s="2" t="inlineStr">
        <is>
          <t>14%</t>
        </is>
      </c>
      <c r="E26" s="3" t="inlineStr">
        <is>
          <t>Automobiles, luxury goods, tobacco</t>
        </is>
      </c>
    </row>
  </sheetData>
  <mergeCells count="2">
    <mergeCell ref="A1:E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2026-06-07T07:21:10Z</dcterms:created>
  <dcterms:modified xmlns:dcterms="http://purl.org/dc/terms/" xmlns:xsi="http://www.w3.org/2001/XMLSchema-instance" xsi:type="dcterms:W3CDTF">2026-06-07T07:21:10Z</dcterms:modified>
</cp:coreProperties>
</file>